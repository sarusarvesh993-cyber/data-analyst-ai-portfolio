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Austin_Executive" sheetId="2" state="visible" r:id="rId2"/>
    <sheet xmlns:r="http://schemas.openxmlformats.org/officeDocument/2006/relationships" name="Departments" sheetId="3" state="visible" r:id="rId3"/>
    <sheet xmlns:r="http://schemas.openxmlformats.org/officeDocument/2006/relationships" name="Funds" sheetId="4" state="visible" r:id="rId4"/>
    <sheet xmlns:r="http://schemas.openxmlformats.org/officeDocument/2006/relationships" name="Variance_Drivers" sheetId="5" state="visible" r:id="rId5"/>
    <sheet xmlns:r="http://schemas.openxmlformats.org/officeDocument/2006/relationships" name="Data_Quality" sheetId="6" state="visible" r:id="rId6"/>
    <sheet xmlns:r="http://schemas.openxmlformats.org/officeDocument/2006/relationships" name="Scenario_Assumptions" sheetId="7" state="visible" r:id="rId7"/>
    <sheet xmlns:r="http://schemas.openxmlformats.org/officeDocument/2006/relationships" name="Corporate_Plan" sheetId="8" state="visible" r:id="rId8"/>
    <sheet xmlns:r="http://schemas.openxmlformats.org/officeDocument/2006/relationships" name="Corporate_Dashboard" sheetId="9" state="visible" r:id="rId9"/>
  </sheets>
  <definedNames>
    <definedName name="_xlnm._FilterDatabase" localSheetId="1" hidden="1">'Austin_Executive'!$A$11:$C$23</definedName>
    <definedName name="_xlnm._FilterDatabase" localSheetId="2" hidden="1">'Departments'!$A$4:$M$44</definedName>
    <definedName name="_xlnm._FilterDatabase" localSheetId="3" hidden="1">'Funds'!$A$4:$N$216</definedName>
    <definedName name="_xlnm._FilterDatabase" localSheetId="4" hidden="1">'Variance_Drivers'!$A$4:$Q$254</definedName>
    <definedName name="_xlnm._FilterDatabase" localSheetId="5" hidden="1">'Data_Quality'!$A$4:$C$14</definedName>
    <definedName name="_xlnm._FilterDatabase" localSheetId="7" hidden="1">'Corporate_Plan'!$A$4:$H$256</definedName>
    <definedName name="_xlnm._FilterDatabase" localSheetId="8" hidden="1">'Corporate_Dashboard'!$A$13:$C$25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$0.00,,,&quot;B&quot;"/>
    <numFmt numFmtId="165" formatCode="0.0%"/>
    <numFmt numFmtId="166" formatCode="$0.0,,&quot;M&quot;"/>
    <numFmt numFmtId="167" formatCode="$#,##0;[Red]-$#,##0"/>
    <numFmt numFmtId="168" formatCode="0.0"/>
  </numFmts>
  <fonts count="9">
    <font>
      <name val="Calibri"/>
      <family val="2"/>
      <color theme="1"/>
      <sz val="11"/>
      <scheme val="minor"/>
    </font>
    <font>
      <b val="1"/>
      <color rgb="00FFFFFF"/>
      <sz val="18"/>
    </font>
    <font>
      <color rgb="0063788B"/>
      <sz val="10"/>
    </font>
    <font>
      <b val="1"/>
      <color rgb="000F8A7B"/>
    </font>
    <font>
      <b val="1"/>
      <color rgb="0063788B"/>
    </font>
    <font>
      <b val="1"/>
      <color rgb="00173B63"/>
      <sz val="18"/>
    </font>
    <font>
      <b val="1"/>
      <color rgb="00FFFFFF"/>
    </font>
    <font>
      <b val="1"/>
      <color rgb="00173B63"/>
    </font>
    <font>
      <b val="1"/>
      <color rgb="00173B63"/>
      <sz val="14"/>
    </font>
  </fonts>
  <fills count="6">
    <fill>
      <patternFill/>
    </fill>
    <fill>
      <patternFill patternType="gray125"/>
    </fill>
    <fill>
      <patternFill patternType="solid">
        <fgColor rgb="00173B63"/>
      </patternFill>
    </fill>
    <fill>
      <patternFill patternType="solid">
        <fgColor rgb="00F4F8F7"/>
      </patternFill>
    </fill>
    <fill>
      <patternFill patternType="solid">
        <fgColor rgb="000F8A7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F4A340"/>
      </left>
      <right style="thin">
        <color rgb="00F4A340"/>
      </right>
      <top style="thin">
        <color rgb="00F4A340"/>
      </top>
      <bottom style="thin">
        <color rgb="00F4A34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4" fontId="5" fillId="3" borderId="0" pivotButton="0" quotePrefix="0" xfId="0"/>
    <xf numFmtId="165" fontId="5" fillId="3" borderId="0" pivotButton="0" quotePrefix="0" xfId="0"/>
    <xf numFmtId="166" fontId="5" fillId="3" borderId="0" pivotButton="0" quotePrefix="0" xfId="0"/>
    <xf numFmtId="1" fontId="5" fillId="3" borderId="0" pivotButton="0" quotePrefix="0" xfId="0"/>
    <xf numFmtId="0" fontId="6" fillId="4" borderId="0" applyAlignment="1" pivotButton="0" quotePrefix="0" xfId="0">
      <alignment wrapText="1"/>
    </xf>
    <xf numFmtId="167" fontId="0" fillId="0" borderId="0" pivotButton="0" quotePrefix="0" xfId="0"/>
    <xf numFmtId="168" fontId="0" fillId="0" borderId="0" pivotButton="0" quotePrefix="0" xfId="0"/>
    <xf numFmtId="0" fontId="7" fillId="0" borderId="0" pivotButton="0" quotePrefix="0" xfId="0"/>
    <xf numFmtId="165" fontId="0" fillId="5" borderId="1" pivotButton="0" quotePrefix="0" xfId="0"/>
    <xf numFmtId="0" fontId="6" fillId="4" borderId="0" pivotButton="0" quotePrefix="0" xfId="0"/>
    <xf numFmtId="166" fontId="8" fillId="3" borderId="0" pivotButton="0" quotePrefix="0" xfId="0"/>
    <xf numFmtId="165" fontId="8" fillId="3" borderId="0" pivotButton="0" quotePrefix="0" xfId="0"/>
    <xf numFmtId="17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departments: annual budget vs Q3 expenditures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'Austin_Executive'!B11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'Austin_Executive'!$A$12:$A$23</f>
            </numRef>
          </cat>
          <val>
            <numRef>
              <f>'Austin_Executive'!$B$12:$B$23</f>
            </numRef>
          </val>
        </ser>
        <ser>
          <idx val="1"/>
          <order val="1"/>
          <tx>
            <strRef>
              <f>'Austin_Executive'!C11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'Austin_Executive'!$A$12:$A$23</f>
            </numRef>
          </cat>
          <val>
            <numRef>
              <f>'Austin_Executive'!$C$12:$C$23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 dollars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EBITDA: plan vs base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'Corporate_Dashboard'!B13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'Corporate_Dashboard'!$A$14:$A$25</f>
            </numRef>
          </cat>
          <val>
            <numRef>
              <f>'Corporate_Dashboard'!$B$14:$B$25</f>
            </numRef>
          </val>
        </ser>
        <ser>
          <idx val="1"/>
          <order val="1"/>
          <tx>
            <strRef>
              <f>'Corporate_Dashboard'!C13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'Corporate_Dashboard'!$A$14:$A$25</f>
            </numRef>
          </cat>
          <val>
            <numRef>
              <f>'Corporate_Dashboard'!$C$14:$C$25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10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xecutiveDepartmentChartData" displayName="ExecutiveDepartmentChartData" ref="A11:C23" headerRowCount="1">
  <autoFilter ref="A11:C23"/>
  <tableColumns count="3">
    <tableColumn id="1" name="dept_rollup_name"/>
    <tableColumn id="2" name="budget"/>
    <tableColumn id="3" name="expenditu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partmentSummary" displayName="DepartmentSummary" ref="A4:M44" headerRowCount="1">
  <autoFilter ref="A4:M44"/>
  <tableColumns count="13">
    <tableColumn id="1" name="dept_rollup_name"/>
    <tableColumn id="2" name="budget"/>
    <tableColumn id="3" name="expenditures"/>
    <tableColumn id="4" name="source_lines"/>
    <tableColumn id="5" name="elapsed_pct"/>
    <tableColumn id="6" name="expected_spend_to_date"/>
    <tableColumn id="7" name="remaining_budget"/>
    <tableColumn id="8" name="utilization_pct"/>
    <tableColumn id="9" name="pace_variance"/>
    <tableColumn id="10" name="pace_gap_pct_points"/>
    <tableColumn id="11" name="linear_run_rate_proxy"/>
    <tableColumn id="12" name="projected_variance_proxy"/>
    <tableColumn id="13" name="pace_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undSummary" displayName="FundSummary" ref="A4:N216" headerRowCount="1">
  <autoFilter ref="A4:N216"/>
  <tableColumns count="14">
    <tableColumn id="1" name="dept_rollup_name"/>
    <tableColumn id="2" name="fund_name"/>
    <tableColumn id="3" name="budget"/>
    <tableColumn id="4" name="expenditures"/>
    <tableColumn id="5" name="source_lines"/>
    <tableColumn id="6" name="elapsed_pct"/>
    <tableColumn id="7" name="expected_spend_to_date"/>
    <tableColumn id="8" name="remaining_budget"/>
    <tableColumn id="9" name="utilization_pct"/>
    <tableColumn id="10" name="pace_variance"/>
    <tableColumn id="11" name="pace_gap_pct_points"/>
    <tableColumn id="12" name="linear_run_rate_proxy"/>
    <tableColumn id="13" name="projected_variance_proxy"/>
    <tableColumn id="14" name="pace_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arianceDrivers" displayName="VarianceDrivers" ref="A4:Q254" headerRowCount="1">
  <autoFilter ref="A4:Q254"/>
  <tableColumns count="17">
    <tableColumn id="1" name="dept_rollup_name"/>
    <tableColumn id="2" name="fund_name"/>
    <tableColumn id="3" name="program_name"/>
    <tableColumn id="4" name="expense_category"/>
    <tableColumn id="5" name="budget"/>
    <tableColumn id="6" name="expenditures"/>
    <tableColumn id="7" name="source_lines"/>
    <tableColumn id="8" name="elapsed_pct"/>
    <tableColumn id="9" name="expected_spend_to_date"/>
    <tableColumn id="10" name="remaining_budget"/>
    <tableColumn id="11" name="utilization_pct"/>
    <tableColumn id="12" name="pace_variance"/>
    <tableColumn id="13" name="pace_gap_pct_points"/>
    <tableColumn id="14" name="linear_run_rate_proxy"/>
    <tableColumn id="15" name="projected_variance_proxy"/>
    <tableColumn id="16" name="pace_status"/>
    <tableColumn id="17" name="absolute_pace_varian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ataQualityChecks" displayName="DataQualityChecks" ref="A4:C14" headerRowCount="1">
  <autoFilter ref="A4:C14"/>
  <tableColumns count="3">
    <tableColumn id="1" name="check_name"/>
    <tableColumn id="2" name="issue_count"/>
    <tableColumn id="3" name="check_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rporatePlan" displayName="CorporatePlan" ref="A4:J256" headerRowCount="1">
  <autoFilter ref="A4:J256"/>
  <tableColumns count="10">
    <tableColumn id="1" name="Month"/>
    <tableColumn id="2" name="Period Status"/>
    <tableColumn id="3" name="Business Unit"/>
    <tableColumn id="4" name="Statement Group"/>
    <tableColumn id="5" name="Line Item"/>
    <tableColumn id="6" name="Budget Amount"/>
    <tableColumn id="7" name="Actual Amount"/>
    <tableColumn id="8" name="Base Forecast Amount"/>
    <tableColumn id="9" name="Scenario Amount"/>
    <tableColumn id="10" name="P&amp;L Variance to Budge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orporateMonthlyChartData" displayName="CorporateMonthlyChartData" ref="A13:C25" headerRowCount="1">
  <autoFilter ref="A13:C25"/>
  <tableColumns count="3">
    <tableColumn id="1" name="Month"/>
    <tableColumn id="2" name="Budget EBITDA"/>
    <tableColumn id="3" name="Base Forecast EBIT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7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30" customHeight="1">
      <c r="A1" s="1" t="inlineStr">
        <is>
          <t>PROJECT 06 · FP&amp;A MODEL</t>
        </is>
      </c>
    </row>
    <row r="2" ht="32" customHeight="1">
      <c r="A2" s="2" t="inlineStr">
        <is>
          <t>Real City of Austin FY2026 operating-budget pacing plus a clearly labeled synthetic corporate scenario model.</t>
        </is>
      </c>
    </row>
    <row r="4">
      <c r="A4" s="3" t="inlineStr">
        <is>
          <t>Purpose</t>
        </is>
      </c>
      <c r="B4" s="4" t="inlineStr">
        <is>
          <t>Demonstrate budget-versus-actual analysis, pacing, variance drivers, scenarios, and Excel delivery.</t>
        </is>
      </c>
    </row>
    <row r="5">
      <c r="A5" s="3" t="inlineStr">
        <is>
          <t>Public source</t>
        </is>
      </c>
      <c r="B5" s="4" t="inlineStr">
        <is>
          <t>City of Austin Program Budget Operating Budget Vs Expense Raw Data, dataset g5k8-8sud.</t>
        </is>
      </c>
    </row>
    <row r="6">
      <c r="A6" s="3" t="inlineStr">
        <is>
          <t>Snapshot</t>
        </is>
      </c>
      <c r="B6" s="4" t="inlineStr">
        <is>
          <t>FY2026 through Q3; 57,267 source rows.</t>
        </is>
      </c>
    </row>
    <row r="7">
      <c r="A7" s="3" t="inlineStr">
        <is>
          <t>Pacing boundary</t>
        </is>
      </c>
      <c r="B7" s="4" t="inlineStr">
        <is>
          <t>Expected spend to date is annual budget multiplied by elapsed quarter share. It is a monitoring proxy, not an accounting forecast.</t>
        </is>
      </c>
    </row>
    <row r="8">
      <c r="A8" s="3" t="inlineStr">
        <is>
          <t>Known source caveat</t>
        </is>
      </c>
      <c r="B8" s="4" t="inlineStr">
        <is>
          <t>Personnel budgets and actuals can appear in different leave/pay objects. Zero-budget spend is retained for review, not automatically called an overrun.</t>
        </is>
      </c>
    </row>
    <row r="9">
      <c r="A9" s="3" t="inlineStr">
        <is>
          <t>Corporate model</t>
        </is>
      </c>
      <c r="B9" s="4" t="inlineStr">
        <is>
          <t>The Corporate_Plan and Scenario_Assumptions sheets are seeded synthetic demonstrations and are not City of Austin data.</t>
        </is>
      </c>
    </row>
    <row r="10">
      <c r="A10" s="3" t="inlineStr">
        <is>
          <t>How to use</t>
        </is>
      </c>
      <c r="B10" s="4" t="inlineStr">
        <is>
          <t>Change the three yellow assumption cells. Scenario formulas and dashboard metrics recalculate automatically in Excel.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 ht="30" customHeight="1">
      <c r="A1" s="1" t="inlineStr">
        <is>
          <t>CITY OF AUSTIN · BUDGET PACING</t>
        </is>
      </c>
    </row>
    <row r="2" ht="32" customHeight="1">
      <c r="A2" s="2" t="inlineStr">
        <is>
          <t>Expense pacing through Q3. Positive pace variance means expenditures are above a straight-line 75% benchmark.</t>
        </is>
      </c>
    </row>
    <row r="4">
      <c r="A4" s="5" t="inlineStr">
        <is>
          <t>Annual budget</t>
        </is>
      </c>
      <c r="D4" s="5" t="inlineStr">
        <is>
          <t>Expenditures to date</t>
        </is>
      </c>
      <c r="G4" s="5" t="inlineStr">
        <is>
          <t>Utilization</t>
        </is>
      </c>
    </row>
    <row r="5">
      <c r="A5" s="6" t="n">
        <v>8101990455.95</v>
      </c>
      <c r="D5" s="6" t="n">
        <v>6021243202</v>
      </c>
      <c r="G5" s="7" t="n">
        <v>0.7431807325295076</v>
      </c>
    </row>
    <row r="7">
      <c r="A7" s="5" t="inlineStr">
        <is>
          <t>Pace variance</t>
        </is>
      </c>
      <c r="D7" s="5" t="inlineStr">
        <is>
          <t>Remaining budget</t>
        </is>
      </c>
      <c r="G7" s="5" t="inlineStr">
        <is>
          <t>Departments above pace</t>
        </is>
      </c>
    </row>
    <row r="8">
      <c r="A8" s="8" t="n">
        <v>-55249639.96249962</v>
      </c>
      <c r="D8" s="6" t="n">
        <v>2080747253.95</v>
      </c>
      <c r="G8" s="9" t="n">
        <v>6</v>
      </c>
    </row>
    <row r="11">
      <c r="A11" s="10" t="inlineStr">
        <is>
          <t>dept_rollup_name</t>
        </is>
      </c>
      <c r="B11" s="10" t="inlineStr">
        <is>
          <t>budget</t>
        </is>
      </c>
      <c r="C11" s="10" t="inlineStr">
        <is>
          <t>expenditures</t>
        </is>
      </c>
    </row>
    <row r="12">
      <c r="A12" t="inlineStr">
        <is>
          <t>Austin Energy</t>
        </is>
      </c>
      <c r="B12" s="11" t="n">
        <v>1611344198</v>
      </c>
      <c r="C12" s="11" t="n">
        <v>1201700564.46</v>
      </c>
    </row>
    <row r="13">
      <c r="A13" t="inlineStr">
        <is>
          <t>Austin Water</t>
        </is>
      </c>
      <c r="B13" s="11" t="n">
        <v>931124230</v>
      </c>
      <c r="C13" s="11" t="n">
        <v>725642894.36</v>
      </c>
    </row>
    <row r="14">
      <c r="A14" t="inlineStr">
        <is>
          <t>Aviation</t>
        </is>
      </c>
      <c r="B14" s="11" t="n">
        <v>650840976</v>
      </c>
      <c r="C14" s="11" t="n">
        <v>362072058</v>
      </c>
    </row>
    <row r="15">
      <c r="A15" t="inlineStr">
        <is>
          <t>Enterprise Debt Service</t>
        </is>
      </c>
      <c r="B15" s="11" t="n">
        <v>576232647</v>
      </c>
      <c r="C15" s="11" t="n">
        <v>517960325.16</v>
      </c>
    </row>
    <row r="16">
      <c r="A16" t="inlineStr">
        <is>
          <t>Police</t>
        </is>
      </c>
      <c r="B16" s="11" t="n">
        <v>528637858</v>
      </c>
      <c r="C16" s="11" t="n">
        <v>429124954.55</v>
      </c>
    </row>
    <row r="17">
      <c r="A17" t="inlineStr">
        <is>
          <t>Nondepartmental</t>
        </is>
      </c>
      <c r="B17" s="11" t="n">
        <v>439874669</v>
      </c>
      <c r="C17" s="11" t="n">
        <v>422501899.07</v>
      </c>
    </row>
    <row r="18">
      <c r="A18" t="inlineStr">
        <is>
          <t>Human Resources</t>
        </is>
      </c>
      <c r="B18" s="11" t="n">
        <v>385842777</v>
      </c>
      <c r="C18" s="11" t="n">
        <v>321938639.63</v>
      </c>
    </row>
    <row r="19">
      <c r="A19" t="inlineStr">
        <is>
          <t>Public Works</t>
        </is>
      </c>
      <c r="B19" s="11" t="n">
        <v>310825661</v>
      </c>
      <c r="C19" s="11" t="n">
        <v>223819475.03</v>
      </c>
    </row>
    <row r="20">
      <c r="A20" t="inlineStr">
        <is>
          <t>Austin Convention Center</t>
        </is>
      </c>
      <c r="B20" s="11" t="n">
        <v>286684067</v>
      </c>
      <c r="C20" s="11" t="n">
        <v>205794990.21</v>
      </c>
    </row>
    <row r="21">
      <c r="A21" t="inlineStr">
        <is>
          <t>General Obligation Debt Service</t>
        </is>
      </c>
      <c r="B21" s="11" t="n">
        <v>283886060</v>
      </c>
      <c r="C21" s="11" t="n">
        <v>79034997.32000001</v>
      </c>
    </row>
    <row r="22">
      <c r="A22" t="inlineStr">
        <is>
          <t>Fire</t>
        </is>
      </c>
      <c r="B22" s="11" t="n">
        <v>269946011</v>
      </c>
      <c r="C22" s="11" t="n">
        <v>228713409.91</v>
      </c>
    </row>
    <row r="23">
      <c r="A23" t="inlineStr">
        <is>
          <t>Communications &amp; Technology Management</t>
        </is>
      </c>
      <c r="B23" s="11" t="n">
        <v>166779193</v>
      </c>
      <c r="C23" s="11" t="n">
        <v>132805315.11</v>
      </c>
    </row>
  </sheetData>
  <autoFilter ref="A11:C23"/>
  <mergeCells count="14">
    <mergeCell ref="A4:B4"/>
    <mergeCell ref="G4:H4"/>
    <mergeCell ref="A1:J1"/>
    <mergeCell ref="D8:E8"/>
    <mergeCell ref="D7:E7"/>
    <mergeCell ref="A7:B7"/>
    <mergeCell ref="G7:H7"/>
    <mergeCell ref="D5:E5"/>
    <mergeCell ref="A5:B5"/>
    <mergeCell ref="G5:H5"/>
    <mergeCell ref="D4:E4"/>
    <mergeCell ref="A2:J2"/>
    <mergeCell ref="G8:H8"/>
    <mergeCell ref="A8:B8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4" customWidth="1" min="4" max="4"/>
    <col width="13" customWidth="1" min="5" max="5"/>
    <col width="24" customWidth="1" min="6" max="6"/>
    <col width="20" customWidth="1" min="7" max="7"/>
    <col width="20" customWidth="1" min="8" max="8"/>
    <col width="21" customWidth="1" min="9" max="9"/>
    <col width="23" customWidth="1" min="10" max="10"/>
    <col width="23" customWidth="1" min="11" max="11"/>
    <col width="26" customWidth="1" min="12" max="12"/>
    <col width="29" customWidth="1" min="13" max="13"/>
  </cols>
  <sheetData>
    <row r="1" ht="30" customHeight="1">
      <c r="A1" s="1" t="inlineStr">
        <is>
          <t>Departments</t>
        </is>
      </c>
    </row>
    <row r="2" ht="32" customHeight="1">
      <c r="A2" s="2" t="inlineStr">
        <is>
          <t>Reviewed output generated by build_finance.py.</t>
        </is>
      </c>
    </row>
    <row r="4">
      <c r="A4" s="10" t="inlineStr">
        <is>
          <t>dept_rollup_name</t>
        </is>
      </c>
      <c r="B4" s="10" t="inlineStr">
        <is>
          <t>budget</t>
        </is>
      </c>
      <c r="C4" s="10" t="inlineStr">
        <is>
          <t>expenditures</t>
        </is>
      </c>
      <c r="D4" s="10" t="inlineStr">
        <is>
          <t>source_lines</t>
        </is>
      </c>
      <c r="E4" s="10" t="inlineStr">
        <is>
          <t>elapsed_pct</t>
        </is>
      </c>
      <c r="F4" s="10" t="inlineStr">
        <is>
          <t>expected_spend_to_date</t>
        </is>
      </c>
      <c r="G4" s="10" t="inlineStr">
        <is>
          <t>remaining_budget</t>
        </is>
      </c>
      <c r="H4" s="10" t="inlineStr">
        <is>
          <t>utilization_pct</t>
        </is>
      </c>
      <c r="I4" s="10" t="inlineStr">
        <is>
          <t>pace_variance</t>
        </is>
      </c>
      <c r="J4" s="10" t="inlineStr">
        <is>
          <t>pace_gap_pct_points</t>
        </is>
      </c>
      <c r="K4" s="10" t="inlineStr">
        <is>
          <t>linear_run_rate_proxy</t>
        </is>
      </c>
      <c r="L4" s="10" t="inlineStr">
        <is>
          <t>projected_variance_proxy</t>
        </is>
      </c>
      <c r="M4" s="10" t="inlineStr">
        <is>
          <t>pace_status</t>
        </is>
      </c>
    </row>
    <row r="5">
      <c r="A5" t="inlineStr">
        <is>
          <t>Austin Energy</t>
        </is>
      </c>
      <c r="B5" s="11" t="n">
        <v>1611344198</v>
      </c>
      <c r="C5" s="11" t="n">
        <v>1201700564.46</v>
      </c>
      <c r="D5" t="n">
        <v>6994</v>
      </c>
      <c r="E5" s="12" t="n">
        <v>75</v>
      </c>
      <c r="F5" s="11" t="n">
        <v>1208508148.5</v>
      </c>
      <c r="G5" s="11" t="n">
        <v>409643633.54</v>
      </c>
      <c r="H5" s="12" t="n">
        <v>74.57752142289341</v>
      </c>
      <c r="I5" s="11" t="n">
        <v>-6807584.039999962</v>
      </c>
      <c r="J5" s="12" t="n">
        <v>-0.4224785771065882</v>
      </c>
      <c r="K5" s="11" t="n">
        <v>1602267419.28</v>
      </c>
      <c r="L5" s="11" t="n">
        <v>-9076778.720000029</v>
      </c>
      <c r="M5" t="inlineStr">
        <is>
          <t>Near pace</t>
        </is>
      </c>
    </row>
    <row r="6">
      <c r="A6" t="inlineStr">
        <is>
          <t>Austin Water</t>
        </is>
      </c>
      <c r="B6" s="11" t="n">
        <v>931124230</v>
      </c>
      <c r="C6" s="11" t="n">
        <v>725642894.36</v>
      </c>
      <c r="D6" t="n">
        <v>6933</v>
      </c>
      <c r="E6" s="12" t="n">
        <v>75</v>
      </c>
      <c r="F6" s="11" t="n">
        <v>698343172.5</v>
      </c>
      <c r="G6" s="11" t="n">
        <v>205481335.64</v>
      </c>
      <c r="H6" s="12" t="n">
        <v>77.93190972594495</v>
      </c>
      <c r="I6" s="11" t="n">
        <v>27299721.86000001</v>
      </c>
      <c r="J6" s="12" t="n">
        <v>2.931909725944948</v>
      </c>
      <c r="K6" s="11" t="n">
        <v>967523859.1466666</v>
      </c>
      <c r="L6" s="11" t="n">
        <v>36399629.14666665</v>
      </c>
      <c r="M6" t="inlineStr">
        <is>
          <t>Near pace</t>
        </is>
      </c>
    </row>
    <row r="7">
      <c r="A7" t="inlineStr">
        <is>
          <t>Aviation</t>
        </is>
      </c>
      <c r="B7" s="11" t="n">
        <v>650840976</v>
      </c>
      <c r="C7" s="11" t="n">
        <v>362072058</v>
      </c>
      <c r="D7" t="n">
        <v>1772</v>
      </c>
      <c r="E7" s="12" t="n">
        <v>75</v>
      </c>
      <c r="F7" s="11" t="n">
        <v>488130732</v>
      </c>
      <c r="G7" s="11" t="n">
        <v>288768918</v>
      </c>
      <c r="H7" s="12" t="n">
        <v>55.63141709750002</v>
      </c>
      <c r="I7" s="11" t="n">
        <v>-126058674</v>
      </c>
      <c r="J7" s="12" t="n">
        <v>-19.36858290249998</v>
      </c>
      <c r="K7" s="11" t="n">
        <v>482762744</v>
      </c>
      <c r="L7" s="11" t="n">
        <v>-168078232</v>
      </c>
      <c r="M7" t="inlineStr">
        <is>
          <t>Below pace</t>
        </is>
      </c>
    </row>
    <row r="8">
      <c r="A8" t="inlineStr">
        <is>
          <t>Enterprise Debt Service</t>
        </is>
      </c>
      <c r="B8" s="11" t="n">
        <v>576232647</v>
      </c>
      <c r="C8" s="11" t="n">
        <v>517960325.16</v>
      </c>
      <c r="D8" t="n">
        <v>26</v>
      </c>
      <c r="E8" s="12" t="n">
        <v>75</v>
      </c>
      <c r="F8" s="11" t="n">
        <v>432174485.25</v>
      </c>
      <c r="G8" s="11" t="n">
        <v>58272321.84000003</v>
      </c>
      <c r="H8" s="12" t="n">
        <v>89.88736196337032</v>
      </c>
      <c r="I8" s="11" t="n">
        <v>85785839.90999997</v>
      </c>
      <c r="J8" s="12" t="n">
        <v>14.88736196337032</v>
      </c>
      <c r="K8" s="11" t="n">
        <v>690613766.88</v>
      </c>
      <c r="L8" s="11" t="n">
        <v>114381119.88</v>
      </c>
      <c r="M8" t="inlineStr">
        <is>
          <t>Above pace</t>
        </is>
      </c>
    </row>
    <row r="9">
      <c r="A9" t="inlineStr">
        <is>
          <t>Police</t>
        </is>
      </c>
      <c r="B9" s="11" t="n">
        <v>528637858</v>
      </c>
      <c r="C9" s="11" t="n">
        <v>429124954.55</v>
      </c>
      <c r="D9" t="n">
        <v>4480</v>
      </c>
      <c r="E9" s="12" t="n">
        <v>75</v>
      </c>
      <c r="F9" s="11" t="n">
        <v>396478393.5</v>
      </c>
      <c r="G9" s="11" t="n">
        <v>99512903.45</v>
      </c>
      <c r="H9" s="12" t="n">
        <v>81.17560028211221</v>
      </c>
      <c r="I9" s="11" t="n">
        <v>32646561.05000001</v>
      </c>
      <c r="J9" s="12" t="n">
        <v>6.175600282112214</v>
      </c>
      <c r="K9" s="11" t="n">
        <v>572166606.0666667</v>
      </c>
      <c r="L9" s="11" t="n">
        <v>43528748.06666672</v>
      </c>
      <c r="M9" t="inlineStr">
        <is>
          <t>Above pace</t>
        </is>
      </c>
    </row>
    <row r="10">
      <c r="A10" t="inlineStr">
        <is>
          <t>Nondepartmental</t>
        </is>
      </c>
      <c r="B10" s="11" t="n">
        <v>439874669</v>
      </c>
      <c r="C10" s="11" t="n">
        <v>422501899.07</v>
      </c>
      <c r="D10" t="n">
        <v>42</v>
      </c>
      <c r="E10" s="12" t="n">
        <v>75</v>
      </c>
      <c r="F10" s="11" t="n">
        <v>329906001.75</v>
      </c>
      <c r="G10" s="11" t="n">
        <v>17372769.93000001</v>
      </c>
      <c r="H10" s="12" t="n">
        <v>96.05051821476904</v>
      </c>
      <c r="I10" s="11" t="n">
        <v>92595897.31999999</v>
      </c>
      <c r="J10" s="12" t="n">
        <v>21.05051821476903</v>
      </c>
      <c r="K10" s="11" t="n">
        <v>563335865.4266666</v>
      </c>
      <c r="L10" s="11" t="n">
        <v>123461196.4266666</v>
      </c>
      <c r="M10" t="inlineStr">
        <is>
          <t>Above pace</t>
        </is>
      </c>
    </row>
    <row r="11">
      <c r="A11" t="inlineStr">
        <is>
          <t>Human Resources</t>
        </is>
      </c>
      <c r="B11" s="11" t="n">
        <v>385842777</v>
      </c>
      <c r="C11" s="11" t="n">
        <v>321938639.63</v>
      </c>
      <c r="D11" t="n">
        <v>754</v>
      </c>
      <c r="E11" s="12" t="n">
        <v>75</v>
      </c>
      <c r="F11" s="11" t="n">
        <v>289382082.75</v>
      </c>
      <c r="G11" s="11" t="n">
        <v>63904137.37</v>
      </c>
      <c r="H11" s="12" t="n">
        <v>83.43777798126308</v>
      </c>
      <c r="I11" s="11" t="n">
        <v>32556556.88</v>
      </c>
      <c r="J11" s="12" t="n">
        <v>8.437777981263082</v>
      </c>
      <c r="K11" s="11" t="n">
        <v>429251519.5066667</v>
      </c>
      <c r="L11" s="11" t="n">
        <v>43408742.50666666</v>
      </c>
      <c r="M11" t="inlineStr">
        <is>
          <t>Above pace</t>
        </is>
      </c>
    </row>
    <row r="12">
      <c r="A12" t="inlineStr">
        <is>
          <t>Public Works</t>
        </is>
      </c>
      <c r="B12" s="11" t="n">
        <v>310825661</v>
      </c>
      <c r="C12" s="11" t="n">
        <v>223819475.03</v>
      </c>
      <c r="D12" t="n">
        <v>3853</v>
      </c>
      <c r="E12" s="12" t="n">
        <v>75</v>
      </c>
      <c r="F12" s="11" t="n">
        <v>233119245.75</v>
      </c>
      <c r="G12" s="11" t="n">
        <v>87006185.97</v>
      </c>
      <c r="H12" s="12" t="n">
        <v>72.00804280763678</v>
      </c>
      <c r="I12" s="11" t="n">
        <v>-9299770.720000001</v>
      </c>
      <c r="J12" s="12" t="n">
        <v>-2.991957192363216</v>
      </c>
      <c r="K12" s="11" t="n">
        <v>298425966.7066666</v>
      </c>
      <c r="L12" s="11" t="n">
        <v>-12399694.29333335</v>
      </c>
      <c r="M12" t="inlineStr">
        <is>
          <t>Near pace</t>
        </is>
      </c>
    </row>
    <row r="13">
      <c r="A13" t="inlineStr">
        <is>
          <t>Austin Convention Center</t>
        </is>
      </c>
      <c r="B13" s="11" t="n">
        <v>286684067</v>
      </c>
      <c r="C13" s="11" t="n">
        <v>205794990.21</v>
      </c>
      <c r="D13" t="n">
        <v>1488</v>
      </c>
      <c r="E13" s="12" t="n">
        <v>75</v>
      </c>
      <c r="F13" s="11" t="n">
        <v>215013050.25</v>
      </c>
      <c r="G13" s="11" t="n">
        <v>80889076.78999999</v>
      </c>
      <c r="H13" s="12" t="n">
        <v>71.78459283194137</v>
      </c>
      <c r="I13" s="11" t="n">
        <v>-9218060.039999992</v>
      </c>
      <c r="J13" s="12" t="n">
        <v>-3.215407168058633</v>
      </c>
      <c r="K13" s="11" t="n">
        <v>274393320.28</v>
      </c>
      <c r="L13" s="11" t="n">
        <v>-12290746.71999997</v>
      </c>
      <c r="M13" t="inlineStr">
        <is>
          <t>Near pace</t>
        </is>
      </c>
    </row>
    <row r="14">
      <c r="A14" t="inlineStr">
        <is>
          <t>General Obligation Debt Service</t>
        </is>
      </c>
      <c r="B14" s="11" t="n">
        <v>283886060</v>
      </c>
      <c r="C14" s="11" t="n">
        <v>79034997.32000001</v>
      </c>
      <c r="D14" t="n">
        <v>7</v>
      </c>
      <c r="E14" s="12" t="n">
        <v>75</v>
      </c>
      <c r="F14" s="11" t="n">
        <v>212914545</v>
      </c>
      <c r="G14" s="11" t="n">
        <v>204851062.68</v>
      </c>
      <c r="H14" s="12" t="n">
        <v>27.84039389605816</v>
      </c>
      <c r="I14" s="11" t="n">
        <v>-133879547.68</v>
      </c>
      <c r="J14" s="12" t="n">
        <v>-47.15960610394184</v>
      </c>
      <c r="K14" s="11" t="n">
        <v>105379996.4266667</v>
      </c>
      <c r="L14" s="11" t="n">
        <v>-178506063.5733333</v>
      </c>
      <c r="M14" t="inlineStr">
        <is>
          <t>Below pace</t>
        </is>
      </c>
    </row>
    <row r="15">
      <c r="A15" t="inlineStr">
        <is>
          <t>Fire</t>
        </is>
      </c>
      <c r="B15" s="11" t="n">
        <v>269946011</v>
      </c>
      <c r="C15" s="11" t="n">
        <v>228713409.91</v>
      </c>
      <c r="D15" t="n">
        <v>1621</v>
      </c>
      <c r="E15" s="12" t="n">
        <v>75</v>
      </c>
      <c r="F15" s="11" t="n">
        <v>202459508.25</v>
      </c>
      <c r="G15" s="11" t="n">
        <v>41232601.09</v>
      </c>
      <c r="H15" s="12" t="n">
        <v>84.72561200765438</v>
      </c>
      <c r="I15" s="11" t="n">
        <v>26253901.66</v>
      </c>
      <c r="J15" s="12" t="n">
        <v>9.725612007654377</v>
      </c>
      <c r="K15" s="11" t="n">
        <v>304951213.2133333</v>
      </c>
      <c r="L15" s="11" t="n">
        <v>35005202.21333331</v>
      </c>
      <c r="M15" t="inlineStr">
        <is>
          <t>Above pace</t>
        </is>
      </c>
    </row>
    <row r="16">
      <c r="A16" t="inlineStr">
        <is>
          <t>Communications &amp; Technology Management</t>
        </is>
      </c>
      <c r="B16" s="11" t="n">
        <v>166779193</v>
      </c>
      <c r="C16" s="11" t="n">
        <v>132805315.11</v>
      </c>
      <c r="D16" t="n">
        <v>1659</v>
      </c>
      <c r="E16" s="12" t="n">
        <v>75</v>
      </c>
      <c r="F16" s="11" t="n">
        <v>125084394.75</v>
      </c>
      <c r="G16" s="11" t="n">
        <v>33973877.89</v>
      </c>
      <c r="H16" s="12" t="n">
        <v>79.62942662158103</v>
      </c>
      <c r="I16" s="11" t="n">
        <v>7720920.359999999</v>
      </c>
      <c r="J16" s="12" t="n">
        <v>4.629426621581032</v>
      </c>
      <c r="K16" s="11" t="n">
        <v>177073753.48</v>
      </c>
      <c r="L16" s="11" t="n">
        <v>10294560.47999999</v>
      </c>
      <c r="M16" t="inlineStr">
        <is>
          <t>Near pace</t>
        </is>
      </c>
    </row>
    <row r="17">
      <c r="A17" t="inlineStr">
        <is>
          <t>Financial Services</t>
        </is>
      </c>
      <c r="B17" s="11" t="n">
        <v>161800170</v>
      </c>
      <c r="C17" s="11" t="n">
        <v>117732253.26</v>
      </c>
      <c r="D17" t="n">
        <v>1208</v>
      </c>
      <c r="E17" s="12" t="n">
        <v>75</v>
      </c>
      <c r="F17" s="11" t="n">
        <v>121350127.5</v>
      </c>
      <c r="G17" s="11" t="n">
        <v>44067916.74</v>
      </c>
      <c r="H17" s="12" t="n">
        <v>72.76398613178219</v>
      </c>
      <c r="I17" s="11" t="n">
        <v>-3617874.239999994</v>
      </c>
      <c r="J17" s="12" t="n">
        <v>-2.23601386821781</v>
      </c>
      <c r="K17" s="11" t="n">
        <v>156976337.68</v>
      </c>
      <c r="L17" s="11" t="n">
        <v>-4823832.319999993</v>
      </c>
      <c r="M17" t="inlineStr">
        <is>
          <t>Near pace</t>
        </is>
      </c>
    </row>
    <row r="18">
      <c r="A18" t="inlineStr">
        <is>
          <t>Parks &amp; Recreation</t>
        </is>
      </c>
      <c r="B18" s="11" t="n">
        <v>157486780</v>
      </c>
      <c r="C18" s="11" t="n">
        <v>120099203.08</v>
      </c>
      <c r="D18" t="n">
        <v>6100</v>
      </c>
      <c r="E18" s="12" t="n">
        <v>75</v>
      </c>
      <c r="F18" s="11" t="n">
        <v>118115085</v>
      </c>
      <c r="G18" s="11" t="n">
        <v>37387576.92</v>
      </c>
      <c r="H18" s="12" t="n">
        <v>76.2598632596336</v>
      </c>
      <c r="I18" s="11" t="n">
        <v>1984118.079999998</v>
      </c>
      <c r="J18" s="12" t="n">
        <v>1.259863259633605</v>
      </c>
      <c r="K18" s="11" t="n">
        <v>160132270.7733333</v>
      </c>
      <c r="L18" s="11" t="n">
        <v>2645490.773333341</v>
      </c>
      <c r="M18" t="inlineStr">
        <is>
          <t>Near pace</t>
        </is>
      </c>
    </row>
    <row r="19">
      <c r="A19" t="inlineStr">
        <is>
          <t>Emergency Medical Services</t>
        </is>
      </c>
      <c r="B19" s="11" t="n">
        <v>151269631</v>
      </c>
      <c r="C19" s="11" t="n">
        <v>120671322.4</v>
      </c>
      <c r="D19" t="n">
        <v>1246</v>
      </c>
      <c r="E19" s="12" t="n">
        <v>75</v>
      </c>
      <c r="F19" s="11" t="n">
        <v>113452223.25</v>
      </c>
      <c r="G19" s="11" t="n">
        <v>30598308.6</v>
      </c>
      <c r="H19" s="12" t="n">
        <v>79.77233870557932</v>
      </c>
      <c r="I19" s="11" t="n">
        <v>7219099.150000006</v>
      </c>
      <c r="J19" s="12" t="n">
        <v>4.772338705579315</v>
      </c>
      <c r="K19" s="11" t="n">
        <v>160895096.5333333</v>
      </c>
      <c r="L19" s="11" t="n">
        <v>9625465.533333331</v>
      </c>
      <c r="M19" t="inlineStr">
        <is>
          <t>Near pace</t>
        </is>
      </c>
    </row>
    <row r="20">
      <c r="A20" t="inlineStr">
        <is>
          <t>Austin Resource Recovery</t>
        </is>
      </c>
      <c r="B20" s="11" t="n">
        <v>146784957</v>
      </c>
      <c r="C20" s="11" t="n">
        <v>111739432.37</v>
      </c>
      <c r="D20" t="n">
        <v>1859</v>
      </c>
      <c r="E20" s="12" t="n">
        <v>75</v>
      </c>
      <c r="F20" s="11" t="n">
        <v>110088717.75</v>
      </c>
      <c r="G20" s="11" t="n">
        <v>35045524.63</v>
      </c>
      <c r="H20" s="12" t="n">
        <v>76.12458023883197</v>
      </c>
      <c r="I20" s="11" t="n">
        <v>1650714.620000005</v>
      </c>
      <c r="J20" s="12" t="n">
        <v>1.124580238831967</v>
      </c>
      <c r="K20" s="11" t="n">
        <v>148985909.8266667</v>
      </c>
      <c r="L20" s="11" t="n">
        <v>2200952.826666683</v>
      </c>
      <c r="M20" t="inlineStr">
        <is>
          <t>Near pace</t>
        </is>
      </c>
    </row>
    <row r="21">
      <c r="A21" t="inlineStr">
        <is>
          <t>Watershed Protection</t>
        </is>
      </c>
      <c r="B21" s="11" t="n">
        <v>135025311</v>
      </c>
      <c r="C21" s="11" t="n">
        <v>99969751.86</v>
      </c>
      <c r="D21" t="n">
        <v>1866</v>
      </c>
      <c r="E21" s="12" t="n">
        <v>75</v>
      </c>
      <c r="F21" s="11" t="n">
        <v>101268983.25</v>
      </c>
      <c r="G21" s="11" t="n">
        <v>35055559.14</v>
      </c>
      <c r="H21" s="12" t="n">
        <v>74.03778678206488</v>
      </c>
      <c r="I21" s="11" t="n">
        <v>-1299231.390000001</v>
      </c>
      <c r="J21" s="12" t="n">
        <v>-0.9622132179351156</v>
      </c>
      <c r="K21" s="11" t="n">
        <v>133293002.48</v>
      </c>
      <c r="L21" s="11" t="n">
        <v>-1732308.519999996</v>
      </c>
      <c r="M21" t="inlineStr">
        <is>
          <t>Near pace</t>
        </is>
      </c>
    </row>
    <row r="22">
      <c r="A22" t="inlineStr">
        <is>
          <t>Development Services</t>
        </is>
      </c>
      <c r="B22" s="11" t="n">
        <v>110741037</v>
      </c>
      <c r="C22" s="11" t="n">
        <v>79786691.01000001</v>
      </c>
      <c r="D22" t="n">
        <v>2192</v>
      </c>
      <c r="E22" s="12" t="n">
        <v>75</v>
      </c>
      <c r="F22" s="11" t="n">
        <v>83055777.75</v>
      </c>
      <c r="G22" s="11" t="n">
        <v>30954345.98999999</v>
      </c>
      <c r="H22" s="12" t="n">
        <v>72.04798977094644</v>
      </c>
      <c r="I22" s="11" t="n">
        <v>-3269086.739999994</v>
      </c>
      <c r="J22" s="12" t="n">
        <v>-2.952010229053556</v>
      </c>
      <c r="K22" s="11" t="n">
        <v>106382254.68</v>
      </c>
      <c r="L22" s="11" t="n">
        <v>-4358782.319999993</v>
      </c>
      <c r="M22" t="inlineStr">
        <is>
          <t>Near pace</t>
        </is>
      </c>
    </row>
    <row r="23">
      <c r="A23" t="inlineStr">
        <is>
          <t>Austin Public Health</t>
        </is>
      </c>
      <c r="B23" s="11" t="n">
        <v>95754612.68000001</v>
      </c>
      <c r="C23" s="11" t="n">
        <v>67025841.37</v>
      </c>
      <c r="D23" t="n">
        <v>2128</v>
      </c>
      <c r="E23" s="12" t="n">
        <v>75</v>
      </c>
      <c r="F23" s="11" t="n">
        <v>71815959.51000001</v>
      </c>
      <c r="G23" s="11" t="n">
        <v>28728771.31000001</v>
      </c>
      <c r="H23" s="12" t="n">
        <v>69.99750664126439</v>
      </c>
      <c r="I23" s="11" t="n">
        <v>-4790118.140000008</v>
      </c>
      <c r="J23" s="12" t="n">
        <v>-5.002493358735606</v>
      </c>
      <c r="K23" s="11" t="n">
        <v>89367788.49333332</v>
      </c>
      <c r="L23" s="11" t="n">
        <v>-6386824.186666682</v>
      </c>
      <c r="M23" t="inlineStr">
        <is>
          <t>Below pace</t>
        </is>
      </c>
    </row>
    <row r="24">
      <c r="A24" t="inlineStr">
        <is>
          <t>Austin Public Library</t>
        </is>
      </c>
      <c r="B24" s="11" t="n">
        <v>83692693</v>
      </c>
      <c r="C24" s="11" t="n">
        <v>63020904.29</v>
      </c>
      <c r="D24" t="n">
        <v>919</v>
      </c>
      <c r="E24" s="12" t="n">
        <v>75</v>
      </c>
      <c r="F24" s="11" t="n">
        <v>62769519.75</v>
      </c>
      <c r="G24" s="11" t="n">
        <v>20671788.71</v>
      </c>
      <c r="H24" s="12" t="n">
        <v>75.30036617414139</v>
      </c>
      <c r="I24" s="11" t="n">
        <v>251384.5399999991</v>
      </c>
      <c r="J24" s="12" t="n">
        <v>0.3003661741413879</v>
      </c>
      <c r="K24" s="11" t="n">
        <v>84027872.38666667</v>
      </c>
      <c r="L24" s="11" t="n">
        <v>335179.3866666704</v>
      </c>
      <c r="M24" t="inlineStr">
        <is>
          <t>Near pace</t>
        </is>
      </c>
    </row>
    <row r="25">
      <c r="A25" t="inlineStr">
        <is>
          <t>Fleet Services</t>
        </is>
      </c>
      <c r="B25" s="11" t="n">
        <v>81400689</v>
      </c>
      <c r="C25" s="11" t="n">
        <v>68567399.66</v>
      </c>
      <c r="D25" t="n">
        <v>1180</v>
      </c>
      <c r="E25" s="12" t="n">
        <v>75</v>
      </c>
      <c r="F25" s="11" t="n">
        <v>61050516.75</v>
      </c>
      <c r="G25" s="11" t="n">
        <v>12833289.34</v>
      </c>
      <c r="H25" s="12" t="n">
        <v>84.23442172584068</v>
      </c>
      <c r="I25" s="11" t="n">
        <v>7516882.909999996</v>
      </c>
      <c r="J25" s="12" t="n">
        <v>9.234421725840676</v>
      </c>
      <c r="K25" s="11" t="n">
        <v>91423199.54666668</v>
      </c>
      <c r="L25" s="11" t="n">
        <v>10022510.54666667</v>
      </c>
      <c r="M25" t="inlineStr">
        <is>
          <t>Above pace</t>
        </is>
      </c>
    </row>
    <row r="26">
      <c r="A26" t="inlineStr">
        <is>
          <t>Office of Arts, Culture, Music and Entertainment</t>
        </is>
      </c>
      <c r="B26" s="11" t="n">
        <v>71193853</v>
      </c>
      <c r="C26" s="11" t="n">
        <v>31300098.68</v>
      </c>
      <c r="D26" t="n">
        <v>1054</v>
      </c>
      <c r="E26" s="12" t="n">
        <v>75</v>
      </c>
      <c r="F26" s="11" t="n">
        <v>53395389.75</v>
      </c>
      <c r="G26" s="11" t="n">
        <v>39893754.32</v>
      </c>
      <c r="H26" s="12" t="n">
        <v>43.96460840516666</v>
      </c>
      <c r="I26" s="11" t="n">
        <v>-22095291.07</v>
      </c>
      <c r="J26" s="12" t="n">
        <v>-31.03539159483333</v>
      </c>
      <c r="K26" s="11" t="n">
        <v>41733464.90666667</v>
      </c>
      <c r="L26" s="11" t="n">
        <v>-29460388.09333333</v>
      </c>
      <c r="M26" t="inlineStr">
        <is>
          <t>Below pace</t>
        </is>
      </c>
    </row>
    <row r="27">
      <c r="A27" t="inlineStr">
        <is>
          <t>Building Services</t>
        </is>
      </c>
      <c r="B27" s="11" t="n">
        <v>70665881</v>
      </c>
      <c r="C27" s="11" t="n">
        <v>52649414.33</v>
      </c>
      <c r="D27" t="n">
        <v>1545</v>
      </c>
      <c r="E27" s="12" t="n">
        <v>75</v>
      </c>
      <c r="F27" s="11" t="n">
        <v>52999410.75</v>
      </c>
      <c r="G27" s="11" t="n">
        <v>18016466.67</v>
      </c>
      <c r="H27" s="12" t="n">
        <v>74.50471654064569</v>
      </c>
      <c r="I27" s="11" t="n">
        <v>-349996.4200000018</v>
      </c>
      <c r="J27" s="12" t="n">
        <v>-0.4952834593543116</v>
      </c>
      <c r="K27" s="11" t="n">
        <v>70199219.10666667</v>
      </c>
      <c r="L27" s="11" t="n">
        <v>-466661.8933333308</v>
      </c>
      <c r="M27" t="inlineStr">
        <is>
          <t>Near pace</t>
        </is>
      </c>
    </row>
    <row r="28">
      <c r="A28" t="inlineStr">
        <is>
          <t>Management Services</t>
        </is>
      </c>
      <c r="B28" s="11" t="n">
        <v>60518866</v>
      </c>
      <c r="C28" s="11" t="n">
        <v>39882689.02</v>
      </c>
      <c r="D28" t="n">
        <v>1627</v>
      </c>
      <c r="E28" s="12" t="n">
        <v>75</v>
      </c>
      <c r="F28" s="11" t="n">
        <v>45389149.5</v>
      </c>
      <c r="G28" s="11" t="n">
        <v>20636176.98</v>
      </c>
      <c r="H28" s="12" t="n">
        <v>65.90124973590881</v>
      </c>
      <c r="I28" s="11" t="n">
        <v>-5506460.479999997</v>
      </c>
      <c r="J28" s="12" t="n">
        <v>-9.098750264091194</v>
      </c>
      <c r="K28" s="11" t="n">
        <v>53176918.69333334</v>
      </c>
      <c r="L28" s="11" t="n">
        <v>-7341947.306666665</v>
      </c>
      <c r="M28" t="inlineStr">
        <is>
          <t>Below pace</t>
        </is>
      </c>
    </row>
    <row r="29">
      <c r="A29" t="inlineStr">
        <is>
          <t>Homeless Strategy Office</t>
        </is>
      </c>
      <c r="B29" s="11" t="n">
        <v>59378370</v>
      </c>
      <c r="C29" s="11" t="n">
        <v>28527291.37</v>
      </c>
      <c r="D29" t="n">
        <v>215</v>
      </c>
      <c r="E29" s="12" t="n">
        <v>75</v>
      </c>
      <c r="F29" s="11" t="n">
        <v>44533777.5</v>
      </c>
      <c r="G29" s="11" t="n">
        <v>30851078.63</v>
      </c>
      <c r="H29" s="12" t="n">
        <v>48.04323757961022</v>
      </c>
      <c r="I29" s="11" t="n">
        <v>-16006486.13</v>
      </c>
      <c r="J29" s="12" t="n">
        <v>-26.95676242038978</v>
      </c>
      <c r="K29" s="11" t="n">
        <v>38036388.49333333</v>
      </c>
      <c r="L29" s="11" t="n">
        <v>-21341981.50666667</v>
      </c>
      <c r="M29" t="inlineStr">
        <is>
          <t>Below pace</t>
        </is>
      </c>
    </row>
    <row r="30">
      <c r="A30" t="inlineStr">
        <is>
          <t>Neighborhood Housing &amp; Community Development</t>
        </is>
      </c>
      <c r="B30" s="11" t="n">
        <v>55938052</v>
      </c>
      <c r="C30" s="11" t="n">
        <v>18158349.29</v>
      </c>
      <c r="D30" t="n">
        <v>269</v>
      </c>
      <c r="E30" s="12" t="n">
        <v>75</v>
      </c>
      <c r="F30" s="11" t="n">
        <v>41953539</v>
      </c>
      <c r="G30" s="11" t="n">
        <v>37779702.71</v>
      </c>
      <c r="H30" s="12" t="n">
        <v>32.46153314384276</v>
      </c>
      <c r="I30" s="11" t="n">
        <v>-23795189.71</v>
      </c>
      <c r="J30" s="12" t="n">
        <v>-42.53846685615724</v>
      </c>
      <c r="K30" s="11" t="n">
        <v>24211132.38666667</v>
      </c>
      <c r="L30" s="11" t="n">
        <v>-31726919.61333333</v>
      </c>
      <c r="M30" t="inlineStr">
        <is>
          <t>Below pace</t>
        </is>
      </c>
    </row>
    <row r="31">
      <c r="A31" t="inlineStr">
        <is>
          <t>Municipal Court</t>
        </is>
      </c>
      <c r="B31" s="11" t="n">
        <v>46012733</v>
      </c>
      <c r="C31" s="11" t="n">
        <v>34249749.23</v>
      </c>
      <c r="D31" t="n">
        <v>696</v>
      </c>
      <c r="E31" s="12" t="n">
        <v>75</v>
      </c>
      <c r="F31" s="11" t="n">
        <v>34509549.75</v>
      </c>
      <c r="G31" s="11" t="n">
        <v>11762983.77</v>
      </c>
      <c r="H31" s="12" t="n">
        <v>74.43537255220201</v>
      </c>
      <c r="I31" s="11" t="n">
        <v>-259800.5200000033</v>
      </c>
      <c r="J31" s="12" t="n">
        <v>-0.5646274477979887</v>
      </c>
      <c r="K31" s="11" t="n">
        <v>45666332.30666666</v>
      </c>
      <c r="L31" s="11" t="n">
        <v>-346400.6933333352</v>
      </c>
      <c r="M31" t="inlineStr">
        <is>
          <t>Near pace</t>
        </is>
      </c>
    </row>
    <row r="32">
      <c r="A32" t="inlineStr">
        <is>
          <t>Economic Development</t>
        </is>
      </c>
      <c r="B32" s="11" t="n">
        <v>38501627</v>
      </c>
      <c r="C32" s="11" t="n">
        <v>22613391.58</v>
      </c>
      <c r="D32" t="n">
        <v>586</v>
      </c>
      <c r="E32" s="12" t="n">
        <v>75</v>
      </c>
      <c r="F32" s="11" t="n">
        <v>28876220.25</v>
      </c>
      <c r="G32" s="11" t="n">
        <v>15888235.42</v>
      </c>
      <c r="H32" s="12" t="n">
        <v>58.73359995929523</v>
      </c>
      <c r="I32" s="11" t="n">
        <v>-6262828.670000002</v>
      </c>
      <c r="J32" s="12" t="n">
        <v>-16.26640004070477</v>
      </c>
      <c r="K32" s="11" t="n">
        <v>30151188.77333333</v>
      </c>
      <c r="L32" s="11" t="n">
        <v>-8350438.22666667</v>
      </c>
      <c r="M32" t="inlineStr">
        <is>
          <t>Below pace</t>
        </is>
      </c>
    </row>
    <row r="33">
      <c r="A33" t="inlineStr">
        <is>
          <t>Law</t>
        </is>
      </c>
      <c r="B33" s="11" t="n">
        <v>29930742</v>
      </c>
      <c r="C33" s="11" t="n">
        <v>21756833.16</v>
      </c>
      <c r="D33" t="n">
        <v>440</v>
      </c>
      <c r="E33" s="12" t="n">
        <v>75</v>
      </c>
      <c r="F33" s="11" t="n">
        <v>22448056.5</v>
      </c>
      <c r="G33" s="11" t="n">
        <v>8173908.84</v>
      </c>
      <c r="H33" s="12" t="n">
        <v>72.69059069768467</v>
      </c>
      <c r="I33" s="11" t="n">
        <v>-691223.3399999999</v>
      </c>
      <c r="J33" s="12" t="n">
        <v>-2.309409302315331</v>
      </c>
      <c r="K33" s="11" t="n">
        <v>29009110.88</v>
      </c>
      <c r="L33" s="11" t="n">
        <v>-921631.120000001</v>
      </c>
      <c r="M33" t="inlineStr">
        <is>
          <t>Near pace</t>
        </is>
      </c>
    </row>
    <row r="34">
      <c r="A34" t="inlineStr">
        <is>
          <t>Animal Services</t>
        </is>
      </c>
      <c r="B34" s="11" t="n">
        <v>26243641.27</v>
      </c>
      <c r="C34" s="11" t="n">
        <v>18702470.02</v>
      </c>
      <c r="D34" t="n">
        <v>470</v>
      </c>
      <c r="E34" s="12" t="n">
        <v>75</v>
      </c>
      <c r="F34" s="11" t="n">
        <v>19682730.9525</v>
      </c>
      <c r="G34" s="11" t="n">
        <v>7541171.25</v>
      </c>
      <c r="H34" s="12" t="n">
        <v>71.26476782541388</v>
      </c>
      <c r="I34" s="11" t="n">
        <v>-980260.932500001</v>
      </c>
      <c r="J34" s="12" t="n">
        <v>-3.735232174586116</v>
      </c>
      <c r="K34" s="11" t="n">
        <v>24936626.69333333</v>
      </c>
      <c r="L34" s="11" t="n">
        <v>-1307014.576666668</v>
      </c>
      <c r="M34" t="inlineStr">
        <is>
          <t>Near pace</t>
        </is>
      </c>
    </row>
    <row r="35">
      <c r="A35" t="inlineStr">
        <is>
          <t>Forensic Science</t>
        </is>
      </c>
      <c r="B35" s="11" t="n">
        <v>15949216</v>
      </c>
      <c r="C35" s="11" t="n">
        <v>10541455.92</v>
      </c>
      <c r="D35" t="n">
        <v>366</v>
      </c>
      <c r="E35" s="12" t="n">
        <v>75</v>
      </c>
      <c r="F35" s="11" t="n">
        <v>11961912</v>
      </c>
      <c r="G35" s="11" t="n">
        <v>5407760.08</v>
      </c>
      <c r="H35" s="12" t="n">
        <v>66.09388147981694</v>
      </c>
      <c r="I35" s="11" t="n">
        <v>-1420456.08</v>
      </c>
      <c r="J35" s="12" t="n">
        <v>-8.906118520183057</v>
      </c>
      <c r="K35" s="11" t="n">
        <v>14055274.56</v>
      </c>
      <c r="L35" s="11" t="n">
        <v>-1893941.44</v>
      </c>
      <c r="M35" t="inlineStr">
        <is>
          <t>Below pace</t>
        </is>
      </c>
    </row>
    <row r="36">
      <c r="A36" t="inlineStr">
        <is>
          <t>Planning &amp; Zoning</t>
        </is>
      </c>
      <c r="B36" s="11" t="n">
        <v>14949842</v>
      </c>
      <c r="C36" s="11" t="n">
        <v>11443150.74</v>
      </c>
      <c r="D36" t="n">
        <v>414</v>
      </c>
      <c r="E36" s="12" t="n">
        <v>75</v>
      </c>
      <c r="F36" s="11" t="n">
        <v>11212381.5</v>
      </c>
      <c r="G36" s="11" t="n">
        <v>3506691.26</v>
      </c>
      <c r="H36" s="12" t="n">
        <v>76.54362327039978</v>
      </c>
      <c r="I36" s="11" t="n">
        <v>230769.2400000003</v>
      </c>
      <c r="J36" s="12" t="n">
        <v>1.543623270399777</v>
      </c>
      <c r="K36" s="11" t="n">
        <v>15257534.32</v>
      </c>
      <c r="L36" s="11" t="n">
        <v>307692.3200000003</v>
      </c>
      <c r="M36" t="inlineStr">
        <is>
          <t>Near pace</t>
        </is>
      </c>
    </row>
    <row r="37">
      <c r="A37" t="inlineStr">
        <is>
          <t>Mayor &amp; Council</t>
        </is>
      </c>
      <c r="B37" s="11" t="n">
        <v>14426799</v>
      </c>
      <c r="C37" s="11" t="n">
        <v>9999008.539999999</v>
      </c>
      <c r="D37" t="n">
        <v>475</v>
      </c>
      <c r="E37" s="12" t="n">
        <v>75</v>
      </c>
      <c r="F37" s="11" t="n">
        <v>10820099.25</v>
      </c>
      <c r="G37" s="11" t="n">
        <v>4427790.460000001</v>
      </c>
      <c r="H37" s="12" t="n">
        <v>69.30857316304191</v>
      </c>
      <c r="I37" s="11" t="n">
        <v>-821090.7100000009</v>
      </c>
      <c r="J37" s="12" t="n">
        <v>-5.691426836958087</v>
      </c>
      <c r="K37" s="11" t="n">
        <v>13332011.38666666</v>
      </c>
      <c r="L37" s="11" t="n">
        <v>-1094787.613333335</v>
      </c>
      <c r="M37" t="inlineStr">
        <is>
          <t>Below pace</t>
        </is>
      </c>
    </row>
    <row r="38">
      <c r="A38" t="inlineStr">
        <is>
          <t>Austin Conv &amp; Visitors Bureau</t>
        </is>
      </c>
      <c r="B38" s="11" t="n">
        <v>12913215</v>
      </c>
      <c r="C38" s="11" t="n">
        <v>9684912.060000001</v>
      </c>
      <c r="D38" t="n">
        <v>1</v>
      </c>
      <c r="E38" s="12" t="n">
        <v>75</v>
      </c>
      <c r="F38" s="11" t="n">
        <v>9684911.25</v>
      </c>
      <c r="G38" s="11" t="n">
        <v>3228302.939999999</v>
      </c>
      <c r="H38" s="12" t="n">
        <v>75.00000627264396</v>
      </c>
      <c r="I38" s="11" t="n">
        <v>0.8100000005215406</v>
      </c>
      <c r="J38" s="12" t="n">
        <v>6.272643958027402e-06</v>
      </c>
      <c r="K38" s="11" t="n">
        <v>12913216.08</v>
      </c>
      <c r="L38" s="11" t="n">
        <v>1.080000000074506</v>
      </c>
      <c r="M38" t="inlineStr">
        <is>
          <t>Near pace</t>
        </is>
      </c>
    </row>
    <row r="39">
      <c r="A39" t="inlineStr">
        <is>
          <t>Office of the City Clerk</t>
        </is>
      </c>
      <c r="B39" s="11" t="n">
        <v>7671881</v>
      </c>
      <c r="C39" s="11" t="n">
        <v>5193937</v>
      </c>
      <c r="D39" t="n">
        <v>84</v>
      </c>
      <c r="E39" s="12" t="n">
        <v>75</v>
      </c>
      <c r="F39" s="11" t="n">
        <v>5753910.75</v>
      </c>
      <c r="G39" s="11" t="n">
        <v>2477944</v>
      </c>
      <c r="H39" s="12" t="n">
        <v>67.70095886523788</v>
      </c>
      <c r="I39" s="11" t="n">
        <v>-559973.75</v>
      </c>
      <c r="J39" s="12" t="n">
        <v>-7.29904113476212</v>
      </c>
      <c r="K39" s="11" t="n">
        <v>6925249.333333333</v>
      </c>
      <c r="L39" s="11" t="n">
        <v>-746631.666666667</v>
      </c>
      <c r="M39" t="inlineStr">
        <is>
          <t>Below pace</t>
        </is>
      </c>
    </row>
    <row r="40">
      <c r="A40" t="inlineStr">
        <is>
          <t>Small and Minority Business Resources</t>
        </is>
      </c>
      <c r="B40" s="11" t="n">
        <v>6157511</v>
      </c>
      <c r="C40" s="11" t="n">
        <v>4615686.41</v>
      </c>
      <c r="D40" t="n">
        <v>155</v>
      </c>
      <c r="E40" s="12" t="n">
        <v>75</v>
      </c>
      <c r="F40" s="11" t="n">
        <v>4618133.25</v>
      </c>
      <c r="G40" s="11" t="n">
        <v>1541824.59</v>
      </c>
      <c r="H40" s="12" t="n">
        <v>74.96026251516237</v>
      </c>
      <c r="I40" s="11" t="n">
        <v>-2446.839999999851</v>
      </c>
      <c r="J40" s="12" t="n">
        <v>-0.0397374848376301</v>
      </c>
      <c r="K40" s="11" t="n">
        <v>6154248.546666667</v>
      </c>
      <c r="L40" s="11" t="n">
        <v>-3262.453333333135</v>
      </c>
      <c r="M40" t="inlineStr">
        <is>
          <t>Near pace</t>
        </is>
      </c>
    </row>
    <row r="41">
      <c r="A41" t="inlineStr">
        <is>
          <t>Office of the City Auditor</t>
        </is>
      </c>
      <c r="B41" s="11" t="n">
        <v>5548299</v>
      </c>
      <c r="C41" s="11" t="n">
        <v>3883716.52</v>
      </c>
      <c r="D41" t="n">
        <v>102</v>
      </c>
      <c r="E41" s="12" t="n">
        <v>75</v>
      </c>
      <c r="F41" s="11" t="n">
        <v>4161224.25</v>
      </c>
      <c r="G41" s="11" t="n">
        <v>1664582.48</v>
      </c>
      <c r="H41" s="12" t="n">
        <v>69.99832777577416</v>
      </c>
      <c r="I41" s="11" t="n">
        <v>-277507.73</v>
      </c>
      <c r="J41" s="12" t="n">
        <v>-5.001672224225842</v>
      </c>
      <c r="K41" s="11" t="n">
        <v>5178288.693333333</v>
      </c>
      <c r="L41" s="11" t="n">
        <v>-370010.3066666666</v>
      </c>
      <c r="M41" t="inlineStr">
        <is>
          <t>Below pace</t>
        </is>
      </c>
    </row>
    <row r="42">
      <c r="A42" t="inlineStr">
        <is>
          <t>Austin Transportation</t>
        </is>
      </c>
      <c r="B42" s="11" t="n">
        <v>15700</v>
      </c>
      <c r="C42" s="11" t="n">
        <v>-1539035.03</v>
      </c>
      <c r="D42" t="n">
        <v>2</v>
      </c>
      <c r="E42" s="12" t="n">
        <v>75</v>
      </c>
      <c r="F42" s="11" t="n">
        <v>11775</v>
      </c>
      <c r="G42" s="11" t="n">
        <v>1554735.03</v>
      </c>
      <c r="H42" s="12" t="n">
        <v>-9802.770891719743</v>
      </c>
      <c r="I42" s="11" t="n">
        <v>-1550810.03</v>
      </c>
      <c r="J42" s="12" t="n">
        <v>-9877.770891719743</v>
      </c>
      <c r="K42" s="11" t="n">
        <v>-2052046.706666667</v>
      </c>
      <c r="L42" s="11" t="n">
        <v>-2067746.706666667</v>
      </c>
      <c r="M42" t="inlineStr">
        <is>
          <t>Below pace</t>
        </is>
      </c>
    </row>
    <row r="43">
      <c r="A43" t="inlineStr">
        <is>
          <t>Communications &amp; Public Information</t>
        </is>
      </c>
      <c r="B43" s="11" t="n">
        <v>0</v>
      </c>
      <c r="C43" s="11" t="n">
        <v>0</v>
      </c>
      <c r="D43" t="n">
        <v>312</v>
      </c>
      <c r="E43" s="12" t="n">
        <v>75</v>
      </c>
      <c r="F43" s="11" t="n">
        <v>0</v>
      </c>
      <c r="G43" s="11" t="n">
        <v>0</v>
      </c>
      <c r="H43" s="12" t="n"/>
      <c r="I43" s="11" t="n">
        <v>0</v>
      </c>
      <c r="J43" s="12" t="n"/>
      <c r="K43" s="11" t="n">
        <v>0</v>
      </c>
      <c r="L43" s="11" t="n">
        <v>0</v>
      </c>
      <c r="M43" t="inlineStr">
        <is>
          <t>Review: non-positive budget</t>
        </is>
      </c>
    </row>
    <row r="44">
      <c r="A44" t="inlineStr">
        <is>
          <t>Information Security Office</t>
        </is>
      </c>
      <c r="B44" s="11" t="n">
        <v>0</v>
      </c>
      <c r="C44" s="11" t="n">
        <v>-142238.95</v>
      </c>
      <c r="D44" t="n">
        <v>127</v>
      </c>
      <c r="E44" s="12" t="n">
        <v>75</v>
      </c>
      <c r="F44" s="11" t="n">
        <v>0</v>
      </c>
      <c r="G44" s="11" t="n">
        <v>142238.95</v>
      </c>
      <c r="H44" s="12" t="n"/>
      <c r="I44" s="11" t="n">
        <v>-142238.95</v>
      </c>
      <c r="J44" s="12" t="n"/>
      <c r="K44" s="11" t="n">
        <v>-189651.9333333333</v>
      </c>
      <c r="L44" s="11" t="n">
        <v>-189651.9333333333</v>
      </c>
      <c r="M44" t="inlineStr">
        <is>
          <t>Review: non-positive budget</t>
        </is>
      </c>
    </row>
  </sheetData>
  <autoFilter ref="A4:M44"/>
  <mergeCells count="2">
    <mergeCell ref="A1:J1"/>
    <mergeCell ref="A2:J2"/>
  </mergeCells>
  <conditionalFormatting sqref="I5:I4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4" customWidth="1" min="3" max="3"/>
    <col width="20" customWidth="1" min="4" max="4"/>
    <col width="14" customWidth="1" min="5" max="5"/>
    <col width="13" customWidth="1" min="6" max="6"/>
    <col width="24" customWidth="1" min="7" max="7"/>
    <col width="21" customWidth="1" min="8" max="8"/>
    <col width="20" customWidth="1" min="9" max="9"/>
    <col width="21" customWidth="1" min="10" max="10"/>
    <col width="23" customWidth="1" min="11" max="11"/>
    <col width="23" customWidth="1" min="12" max="12"/>
    <col width="26" customWidth="1" min="13" max="13"/>
    <col width="30" customWidth="1" min="14" max="14"/>
  </cols>
  <sheetData>
    <row r="1" ht="30" customHeight="1">
      <c r="A1" s="1" t="inlineStr">
        <is>
          <t>Funds</t>
        </is>
      </c>
    </row>
    <row r="2" ht="32" customHeight="1">
      <c r="A2" s="2" t="inlineStr">
        <is>
          <t>Reviewed output generated by build_finance.py.</t>
        </is>
      </c>
    </row>
    <row r="4">
      <c r="A4" s="10" t="inlineStr">
        <is>
          <t>dept_rollup_name</t>
        </is>
      </c>
      <c r="B4" s="10" t="inlineStr">
        <is>
          <t>fund_name</t>
        </is>
      </c>
      <c r="C4" s="10" t="inlineStr">
        <is>
          <t>budget</t>
        </is>
      </c>
      <c r="D4" s="10" t="inlineStr">
        <is>
          <t>expenditures</t>
        </is>
      </c>
      <c r="E4" s="10" t="inlineStr">
        <is>
          <t>source_lines</t>
        </is>
      </c>
      <c r="F4" s="10" t="inlineStr">
        <is>
          <t>elapsed_pct</t>
        </is>
      </c>
      <c r="G4" s="10" t="inlineStr">
        <is>
          <t>expected_spend_to_date</t>
        </is>
      </c>
      <c r="H4" s="10" t="inlineStr">
        <is>
          <t>remaining_budget</t>
        </is>
      </c>
      <c r="I4" s="10" t="inlineStr">
        <is>
          <t>utilization_pct</t>
        </is>
      </c>
      <c r="J4" s="10" t="inlineStr">
        <is>
          <t>pace_variance</t>
        </is>
      </c>
      <c r="K4" s="10" t="inlineStr">
        <is>
          <t>pace_gap_pct_points</t>
        </is>
      </c>
      <c r="L4" s="10" t="inlineStr">
        <is>
          <t>linear_run_rate_proxy</t>
        </is>
      </c>
      <c r="M4" s="10" t="inlineStr">
        <is>
          <t>projected_variance_proxy</t>
        </is>
      </c>
      <c r="N4" s="10" t="inlineStr">
        <is>
          <t>pace_status</t>
        </is>
      </c>
    </row>
    <row r="5">
      <c r="A5" t="inlineStr">
        <is>
          <t>Austin Energy</t>
        </is>
      </c>
      <c r="B5" t="inlineStr">
        <is>
          <t>Austin Energy Fund</t>
        </is>
      </c>
      <c r="C5" s="11" t="n">
        <v>1384655791</v>
      </c>
      <c r="D5" s="11" t="n">
        <v>1072524282.2</v>
      </c>
      <c r="E5" t="n">
        <v>6984</v>
      </c>
      <c r="F5" s="12" t="n">
        <v>75</v>
      </c>
      <c r="G5" s="11" t="n">
        <v>1038491843.25</v>
      </c>
      <c r="H5" s="11" t="n">
        <v>312131508.8000001</v>
      </c>
      <c r="I5" s="12" t="n">
        <v>77.45782664335819</v>
      </c>
      <c r="J5" s="11" t="n">
        <v>34032438.94999993</v>
      </c>
      <c r="K5" s="12" t="n">
        <v>2.457826643358189</v>
      </c>
      <c r="L5" s="11" t="n">
        <v>1430032376.266667</v>
      </c>
      <c r="M5" s="11" t="n">
        <v>45376585.26666665</v>
      </c>
      <c r="N5" t="inlineStr">
        <is>
          <t>Near pace</t>
        </is>
      </c>
    </row>
    <row r="6">
      <c r="A6" t="inlineStr">
        <is>
          <t>Police</t>
        </is>
      </c>
      <c r="B6" t="inlineStr">
        <is>
          <t>General Fund</t>
        </is>
      </c>
      <c r="C6" s="11" t="n">
        <v>525359250</v>
      </c>
      <c r="D6" s="11" t="n">
        <v>428265549.98</v>
      </c>
      <c r="E6" t="n">
        <v>4427</v>
      </c>
      <c r="F6" s="12" t="n">
        <v>75</v>
      </c>
      <c r="G6" s="11" t="n">
        <v>394019437.5</v>
      </c>
      <c r="H6" s="11" t="n">
        <v>97093700.01999998</v>
      </c>
      <c r="I6" s="12" t="n">
        <v>81.518608453168</v>
      </c>
      <c r="J6" s="11" t="n">
        <v>34246112.48000002</v>
      </c>
      <c r="K6" s="12" t="n">
        <v>6.518608453168</v>
      </c>
      <c r="L6" s="11" t="n">
        <v>571020733.3066667</v>
      </c>
      <c r="M6" s="11" t="n">
        <v>45661483.30666673</v>
      </c>
      <c r="N6" t="inlineStr">
        <is>
          <t>Above pace</t>
        </is>
      </c>
    </row>
    <row r="7">
      <c r="A7" t="inlineStr">
        <is>
          <t>Aviation</t>
        </is>
      </c>
      <c r="B7" t="inlineStr">
        <is>
          <t>Airport Operating Fund</t>
        </is>
      </c>
      <c r="C7" s="11" t="n">
        <v>444931718</v>
      </c>
      <c r="D7" s="11" t="n">
        <v>227145010.74</v>
      </c>
      <c r="E7" t="n">
        <v>1765</v>
      </c>
      <c r="F7" s="12" t="n">
        <v>75</v>
      </c>
      <c r="G7" s="11" t="n">
        <v>333698788.5</v>
      </c>
      <c r="H7" s="11" t="n">
        <v>217786707.26</v>
      </c>
      <c r="I7" s="12" t="n">
        <v>51.05165614198806</v>
      </c>
      <c r="J7" s="11" t="n">
        <v>-106553777.76</v>
      </c>
      <c r="K7" s="12" t="n">
        <v>-23.94834385801194</v>
      </c>
      <c r="L7" s="11" t="n">
        <v>302860014.32</v>
      </c>
      <c r="M7" s="11" t="n">
        <v>-142071703.68</v>
      </c>
      <c r="N7" t="inlineStr">
        <is>
          <t>Below pace</t>
        </is>
      </c>
    </row>
    <row r="8">
      <c r="A8" t="inlineStr">
        <is>
          <t>Austin Water</t>
        </is>
      </c>
      <c r="B8" t="inlineStr">
        <is>
          <t>Austin Water Water Utility Operating Fund</t>
        </is>
      </c>
      <c r="C8" s="11" t="n">
        <v>433874052</v>
      </c>
      <c r="D8" s="11" t="n">
        <v>326848927.28</v>
      </c>
      <c r="E8" t="n">
        <v>3594</v>
      </c>
      <c r="F8" s="12" t="n">
        <v>75</v>
      </c>
      <c r="G8" s="11" t="n">
        <v>325405539</v>
      </c>
      <c r="H8" s="11" t="n">
        <v>107025124.72</v>
      </c>
      <c r="I8" s="12" t="n">
        <v>75.33267448775663</v>
      </c>
      <c r="J8" s="11" t="n">
        <v>1443388.279999971</v>
      </c>
      <c r="K8" s="12" t="n">
        <v>0.3326744877566341</v>
      </c>
      <c r="L8" s="11" t="n">
        <v>435798569.7066666</v>
      </c>
      <c r="M8" s="11" t="n">
        <v>1924517.706666648</v>
      </c>
      <c r="N8" t="inlineStr">
        <is>
          <t>Near pace</t>
        </is>
      </c>
    </row>
    <row r="9">
      <c r="A9" t="inlineStr">
        <is>
          <t>Austin Water</t>
        </is>
      </c>
      <c r="B9" t="inlineStr">
        <is>
          <t>Austin Water Wastewater Utility Operating Fund</t>
        </is>
      </c>
      <c r="C9" s="11" t="n">
        <v>412858853</v>
      </c>
      <c r="D9" s="11" t="n">
        <v>329838726.91</v>
      </c>
      <c r="E9" t="n">
        <v>3237</v>
      </c>
      <c r="F9" s="12" t="n">
        <v>75</v>
      </c>
      <c r="G9" s="11" t="n">
        <v>309644139.75</v>
      </c>
      <c r="H9" s="11" t="n">
        <v>83020126.09000003</v>
      </c>
      <c r="I9" s="12" t="n">
        <v>79.89140223426431</v>
      </c>
      <c r="J9" s="11" t="n">
        <v>20194587.15999997</v>
      </c>
      <c r="K9" s="12" t="n">
        <v>4.891402234264305</v>
      </c>
      <c r="L9" s="11" t="n">
        <v>439784969.2133333</v>
      </c>
      <c r="M9" s="11" t="n">
        <v>26926116.21333331</v>
      </c>
      <c r="N9" t="inlineStr">
        <is>
          <t>Near pace</t>
        </is>
      </c>
    </row>
    <row r="10">
      <c r="A10" t="inlineStr">
        <is>
          <t>Human Resources</t>
        </is>
      </c>
      <c r="B10" t="inlineStr">
        <is>
          <t>Employee Benefits Fund</t>
        </is>
      </c>
      <c r="C10" s="11" t="n">
        <v>332107330</v>
      </c>
      <c r="D10" s="11" t="n">
        <v>285935905.94</v>
      </c>
      <c r="E10" t="n">
        <v>81</v>
      </c>
      <c r="F10" s="12" t="n">
        <v>75</v>
      </c>
      <c r="G10" s="11" t="n">
        <v>249080497.5</v>
      </c>
      <c r="H10" s="11" t="n">
        <v>46171424.06</v>
      </c>
      <c r="I10" s="12" t="n">
        <v>86.09743902370357</v>
      </c>
      <c r="J10" s="11" t="n">
        <v>36855408.44</v>
      </c>
      <c r="K10" s="12" t="n">
        <v>11.09743902370357</v>
      </c>
      <c r="L10" s="11" t="n">
        <v>381247874.5866666</v>
      </c>
      <c r="M10" s="11" t="n">
        <v>49140544.58666664</v>
      </c>
      <c r="N10" t="inlineStr">
        <is>
          <t>Above pace</t>
        </is>
      </c>
    </row>
    <row r="11">
      <c r="A11" t="inlineStr">
        <is>
          <t>General Obligation Debt Service</t>
        </is>
      </c>
      <c r="B11" t="inlineStr">
        <is>
          <t>General Obligation Debt Service Fund</t>
        </is>
      </c>
      <c r="C11" s="11" t="n">
        <v>283490710</v>
      </c>
      <c r="D11" s="11" t="n">
        <v>78685418.76000001</v>
      </c>
      <c r="E11" t="n">
        <v>4</v>
      </c>
      <c r="F11" s="12" t="n">
        <v>75</v>
      </c>
      <c r="G11" s="11" t="n">
        <v>212618032.5</v>
      </c>
      <c r="H11" s="11" t="n">
        <v>204805291.24</v>
      </c>
      <c r="I11" s="12" t="n">
        <v>27.75590733114323</v>
      </c>
      <c r="J11" s="11" t="n">
        <v>-133932613.74</v>
      </c>
      <c r="K11" s="12" t="n">
        <v>-47.24409266885677</v>
      </c>
      <c r="L11" s="11" t="n">
        <v>104913891.68</v>
      </c>
      <c r="M11" s="11" t="n">
        <v>-178576818.32</v>
      </c>
      <c r="N11" t="inlineStr">
        <is>
          <t>Below pace</t>
        </is>
      </c>
    </row>
    <row r="12">
      <c r="A12" t="inlineStr">
        <is>
          <t>Fire</t>
        </is>
      </c>
      <c r="B12" t="inlineStr">
        <is>
          <t>General Fund</t>
        </is>
      </c>
      <c r="C12" s="11" t="n">
        <v>269064011</v>
      </c>
      <c r="D12" s="11" t="n">
        <v>227838409.91</v>
      </c>
      <c r="E12" t="n">
        <v>1616</v>
      </c>
      <c r="F12" s="12" t="n">
        <v>75</v>
      </c>
      <c r="G12" s="11" t="n">
        <v>201798008.25</v>
      </c>
      <c r="H12" s="11" t="n">
        <v>41225601.09</v>
      </c>
      <c r="I12" s="12" t="n">
        <v>84.67814371131188</v>
      </c>
      <c r="J12" s="11" t="n">
        <v>26040401.66</v>
      </c>
      <c r="K12" s="12" t="n">
        <v>9.678143711311876</v>
      </c>
      <c r="L12" s="11" t="n">
        <v>303784546.5466667</v>
      </c>
      <c r="M12" s="11" t="n">
        <v>34720535.54666668</v>
      </c>
      <c r="N12" t="inlineStr">
        <is>
          <t>Above pace</t>
        </is>
      </c>
    </row>
    <row r="13">
      <c r="A13" t="inlineStr">
        <is>
          <t>Enterprise Debt Service</t>
        </is>
      </c>
      <c r="B13" t="inlineStr">
        <is>
          <t>AWU Debt Service Fund</t>
        </is>
      </c>
      <c r="C13" s="11" t="n">
        <v>225161708</v>
      </c>
      <c r="D13" s="11" t="n">
        <v>214220394.21</v>
      </c>
      <c r="E13" t="n">
        <v>4</v>
      </c>
      <c r="F13" s="12" t="n">
        <v>75</v>
      </c>
      <c r="G13" s="11" t="n">
        <v>168871281</v>
      </c>
      <c r="H13" s="11" t="n">
        <v>10941313.78999999</v>
      </c>
      <c r="I13" s="12" t="n">
        <v>95.14068627068684</v>
      </c>
      <c r="J13" s="11" t="n">
        <v>45349113.21000001</v>
      </c>
      <c r="K13" s="12" t="n">
        <v>20.14068627068684</v>
      </c>
      <c r="L13" s="11" t="n">
        <v>285627192.28</v>
      </c>
      <c r="M13" s="11" t="n">
        <v>60465484.28000003</v>
      </c>
      <c r="N13" t="inlineStr">
        <is>
          <t>Above pace</t>
        </is>
      </c>
    </row>
    <row r="14">
      <c r="A14" t="inlineStr">
        <is>
          <t>Austin Energy</t>
        </is>
      </c>
      <c r="B14" t="inlineStr">
        <is>
          <t>E-Elec Short Trm Debt Clearing</t>
        </is>
      </c>
      <c r="C14" s="11" t="n">
        <v>223938407</v>
      </c>
      <c r="D14" s="11" t="n">
        <v>126990000</v>
      </c>
      <c r="E14" t="n">
        <v>1</v>
      </c>
      <c r="F14" s="12" t="n">
        <v>75</v>
      </c>
      <c r="G14" s="11" t="n">
        <v>167953805.25</v>
      </c>
      <c r="H14" s="11" t="n">
        <v>96948407</v>
      </c>
      <c r="I14" s="12" t="n">
        <v>56.70755709180337</v>
      </c>
      <c r="J14" s="11" t="n">
        <v>-40963805.25</v>
      </c>
      <c r="K14" s="12" t="n">
        <v>-18.29244290819663</v>
      </c>
      <c r="L14" s="11" t="n">
        <v>169320000</v>
      </c>
      <c r="M14" s="11" t="n">
        <v>-54618407</v>
      </c>
      <c r="N14" t="inlineStr">
        <is>
          <t>Below pace</t>
        </is>
      </c>
    </row>
    <row r="15">
      <c r="A15" t="inlineStr">
        <is>
          <t>Public Works</t>
        </is>
      </c>
      <c r="B15" t="inlineStr">
        <is>
          <t>Transportation Fund</t>
        </is>
      </c>
      <c r="C15" s="11" t="n">
        <v>213402629</v>
      </c>
      <c r="D15" s="11" t="n">
        <v>158391153.25</v>
      </c>
      <c r="E15" t="n">
        <v>2391</v>
      </c>
      <c r="F15" s="12" t="n">
        <v>75</v>
      </c>
      <c r="G15" s="11" t="n">
        <v>160051971.75</v>
      </c>
      <c r="H15" s="11" t="n">
        <v>55011475.75</v>
      </c>
      <c r="I15" s="12" t="n">
        <v>74.22174412387393</v>
      </c>
      <c r="J15" s="11" t="n">
        <v>-1660818.5</v>
      </c>
      <c r="K15" s="12" t="n">
        <v>-0.7782558761260674</v>
      </c>
      <c r="L15" s="11" t="n">
        <v>211188204.3333333</v>
      </c>
      <c r="M15" s="11" t="n">
        <v>-2214424.666666657</v>
      </c>
      <c r="N15" t="inlineStr">
        <is>
          <t>Near pace</t>
        </is>
      </c>
    </row>
    <row r="16">
      <c r="A16" t="inlineStr">
        <is>
          <t>Nondepartmental</t>
        </is>
      </c>
      <c r="B16" t="inlineStr">
        <is>
          <t>Project Connect Fund</t>
        </is>
      </c>
      <c r="C16" s="11" t="n">
        <v>187483362</v>
      </c>
      <c r="D16" s="11" t="n">
        <v>184215501.05</v>
      </c>
      <c r="E16" t="n">
        <v>2</v>
      </c>
      <c r="F16" s="12" t="n">
        <v>75</v>
      </c>
      <c r="G16" s="11" t="n">
        <v>140612521.5</v>
      </c>
      <c r="H16" s="11" t="n">
        <v>3267860.950000018</v>
      </c>
      <c r="I16" s="12" t="n">
        <v>98.25698615859044</v>
      </c>
      <c r="J16" s="11" t="n">
        <v>43602979.54999998</v>
      </c>
      <c r="K16" s="12" t="n">
        <v>23.25698615859044</v>
      </c>
      <c r="L16" s="11" t="n">
        <v>245620668.0666666</v>
      </c>
      <c r="M16" s="11" t="n">
        <v>58137306.06666663</v>
      </c>
      <c r="N16" t="inlineStr">
        <is>
          <t>Above pace</t>
        </is>
      </c>
    </row>
    <row r="17">
      <c r="A17" t="inlineStr">
        <is>
          <t>Aviation</t>
        </is>
      </c>
      <c r="B17" t="inlineStr">
        <is>
          <t>Airport Capital Fund</t>
        </is>
      </c>
      <c r="C17" s="11" t="n">
        <v>185706476</v>
      </c>
      <c r="D17" s="11" t="n">
        <v>119781763.25</v>
      </c>
      <c r="E17" t="n">
        <v>2</v>
      </c>
      <c r="F17" s="12" t="n">
        <v>75</v>
      </c>
      <c r="G17" s="11" t="n">
        <v>139279857</v>
      </c>
      <c r="H17" s="11" t="n">
        <v>65924712.75</v>
      </c>
      <c r="I17" s="12" t="n">
        <v>64.50058491767406</v>
      </c>
      <c r="J17" s="11" t="n">
        <v>-19498093.75</v>
      </c>
      <c r="K17" s="12" t="n">
        <v>-10.49941508232594</v>
      </c>
      <c r="L17" s="11" t="n">
        <v>159709017.6666667</v>
      </c>
      <c r="M17" s="11" t="n">
        <v>-25997458.33333334</v>
      </c>
      <c r="N17" t="inlineStr">
        <is>
          <t>Below pace</t>
        </is>
      </c>
    </row>
    <row r="18">
      <c r="A18" t="inlineStr">
        <is>
          <t>Enterprise Debt Service</t>
        </is>
      </c>
      <c r="B18" t="inlineStr">
        <is>
          <t>AE Debt Service Fund</t>
        </is>
      </c>
      <c r="C18" s="11" t="n">
        <v>174097715</v>
      </c>
      <c r="D18" s="11" t="n">
        <v>174736976.86</v>
      </c>
      <c r="E18" t="n">
        <v>2</v>
      </c>
      <c r="F18" s="12" t="n">
        <v>75</v>
      </c>
      <c r="G18" s="11" t="n">
        <v>130573286.25</v>
      </c>
      <c r="H18" s="11" t="n">
        <v>-639261.8600000143</v>
      </c>
      <c r="I18" s="12" t="n">
        <v>100.3671856692662</v>
      </c>
      <c r="J18" s="11" t="n">
        <v>44163690.61000001</v>
      </c>
      <c r="K18" s="12" t="n">
        <v>25.36718566926625</v>
      </c>
      <c r="L18" s="11" t="n">
        <v>232982635.8133334</v>
      </c>
      <c r="M18" s="11" t="n">
        <v>58884920.81333336</v>
      </c>
      <c r="N18" t="inlineStr">
        <is>
          <t>Above pace</t>
        </is>
      </c>
    </row>
    <row r="19">
      <c r="A19" t="inlineStr">
        <is>
          <t>Nondepartmental</t>
        </is>
      </c>
      <c r="B19" t="inlineStr">
        <is>
          <t>Hotel Occupancy Tax Fund</t>
        </is>
      </c>
      <c r="C19" s="11" t="n">
        <v>167288265</v>
      </c>
      <c r="D19" s="11" t="n">
        <v>172282881.86</v>
      </c>
      <c r="E19" t="n">
        <v>6</v>
      </c>
      <c r="F19" s="12" t="n">
        <v>75</v>
      </c>
      <c r="G19" s="11" t="n">
        <v>125466198.75</v>
      </c>
      <c r="H19" s="11" t="n">
        <v>-4994616.859999985</v>
      </c>
      <c r="I19" s="12" t="n">
        <v>102.9856349218518</v>
      </c>
      <c r="J19" s="11" t="n">
        <v>46816683.10999999</v>
      </c>
      <c r="K19" s="12" t="n">
        <v>27.98563492185181</v>
      </c>
      <c r="L19" s="11" t="n">
        <v>229710509.1466666</v>
      </c>
      <c r="M19" s="11" t="n">
        <v>62422244.14666665</v>
      </c>
      <c r="N19" t="inlineStr">
        <is>
          <t>Above pace</t>
        </is>
      </c>
    </row>
    <row r="20">
      <c r="A20" t="inlineStr">
        <is>
          <t>Emergency Medical Services</t>
        </is>
      </c>
      <c r="B20" t="inlineStr">
        <is>
          <t>General Fund</t>
        </is>
      </c>
      <c r="C20" s="11" t="n">
        <v>151080254</v>
      </c>
      <c r="D20" s="11" t="n">
        <v>120496099.69</v>
      </c>
      <c r="E20" t="n">
        <v>1232</v>
      </c>
      <c r="F20" s="12" t="n">
        <v>75</v>
      </c>
      <c r="G20" s="11" t="n">
        <v>113310190.5</v>
      </c>
      <c r="H20" s="11" t="n">
        <v>30584154.31</v>
      </c>
      <c r="I20" s="12" t="n">
        <v>79.75635233575925</v>
      </c>
      <c r="J20" s="11" t="n">
        <v>7185909.189999998</v>
      </c>
      <c r="K20" s="12" t="n">
        <v>4.756352335759246</v>
      </c>
      <c r="L20" s="11" t="n">
        <v>160661466.2533333</v>
      </c>
      <c r="M20" s="11" t="n">
        <v>9581212.25333333</v>
      </c>
      <c r="N20" t="inlineStr">
        <is>
          <t>Near pace</t>
        </is>
      </c>
    </row>
    <row r="21">
      <c r="A21" t="inlineStr">
        <is>
          <t>Austin Resource Recovery</t>
        </is>
      </c>
      <c r="B21" t="inlineStr">
        <is>
          <t>Austin Resource Recovery Fund</t>
        </is>
      </c>
      <c r="C21" s="11" t="n">
        <v>146784957</v>
      </c>
      <c r="D21" s="11" t="n">
        <v>111739432.37</v>
      </c>
      <c r="E21" t="n">
        <v>1848</v>
      </c>
      <c r="F21" s="12" t="n">
        <v>75</v>
      </c>
      <c r="G21" s="11" t="n">
        <v>110088717.75</v>
      </c>
      <c r="H21" s="11" t="n">
        <v>35045524.63</v>
      </c>
      <c r="I21" s="12" t="n">
        <v>76.12458023883197</v>
      </c>
      <c r="J21" s="11" t="n">
        <v>1650714.620000005</v>
      </c>
      <c r="K21" s="12" t="n">
        <v>1.124580238831967</v>
      </c>
      <c r="L21" s="11" t="n">
        <v>148985909.8266667</v>
      </c>
      <c r="M21" s="11" t="n">
        <v>2200952.826666683</v>
      </c>
      <c r="N21" t="inlineStr">
        <is>
          <t>Near pace</t>
        </is>
      </c>
    </row>
    <row r="22">
      <c r="A22" t="inlineStr">
        <is>
          <t>Parks &amp; Recreation</t>
        </is>
      </c>
      <c r="B22" t="inlineStr">
        <is>
          <t>General Fund</t>
        </is>
      </c>
      <c r="C22" s="11" t="n">
        <v>135791723</v>
      </c>
      <c r="D22" s="11" t="n">
        <v>104358683.83</v>
      </c>
      <c r="E22" t="n">
        <v>5428</v>
      </c>
      <c r="F22" s="12" t="n">
        <v>75</v>
      </c>
      <c r="G22" s="11" t="n">
        <v>101843792.25</v>
      </c>
      <c r="H22" s="11" t="n">
        <v>31433039.17</v>
      </c>
      <c r="I22" s="12" t="n">
        <v>76.85202126052999</v>
      </c>
      <c r="J22" s="11" t="n">
        <v>2514891.579999998</v>
      </c>
      <c r="K22" s="12" t="n">
        <v>1.852021260529994</v>
      </c>
      <c r="L22" s="11" t="n">
        <v>139144911.7733333</v>
      </c>
      <c r="M22" s="11" t="n">
        <v>3353188.773333341</v>
      </c>
      <c r="N22" t="inlineStr">
        <is>
          <t>Near pace</t>
        </is>
      </c>
    </row>
    <row r="23">
      <c r="A23" t="inlineStr">
        <is>
          <t>Watershed Protection</t>
        </is>
      </c>
      <c r="B23" t="inlineStr">
        <is>
          <t>Drainage Utility Fund</t>
        </is>
      </c>
      <c r="C23" s="11" t="n">
        <v>127863125</v>
      </c>
      <c r="D23" s="11" t="n">
        <v>94855924.5</v>
      </c>
      <c r="E23" t="n">
        <v>1860</v>
      </c>
      <c r="F23" s="12" t="n">
        <v>75</v>
      </c>
      <c r="G23" s="11" t="n">
        <v>95897343.75</v>
      </c>
      <c r="H23" s="11" t="n">
        <v>33007200.5</v>
      </c>
      <c r="I23" s="12" t="n">
        <v>74.18552025847953</v>
      </c>
      <c r="J23" s="11" t="n">
        <v>-1041419.25</v>
      </c>
      <c r="K23" s="12" t="n">
        <v>-0.8144797415204721</v>
      </c>
      <c r="L23" s="11" t="n">
        <v>126474566</v>
      </c>
      <c r="M23" s="11" t="n">
        <v>-1388559</v>
      </c>
      <c r="N23" t="inlineStr">
        <is>
          <t>Near pace</t>
        </is>
      </c>
    </row>
    <row r="24">
      <c r="A24" t="inlineStr">
        <is>
          <t>Communications &amp; Technology Management</t>
        </is>
      </c>
      <c r="B24" t="inlineStr">
        <is>
          <t>Information and Technology Fund</t>
        </is>
      </c>
      <c r="C24" s="11" t="n">
        <v>111323633</v>
      </c>
      <c r="D24" s="11" t="n">
        <v>91232005.15000001</v>
      </c>
      <c r="E24" t="n">
        <v>1111</v>
      </c>
      <c r="F24" s="12" t="n">
        <v>75</v>
      </c>
      <c r="G24" s="11" t="n">
        <v>83492724.75</v>
      </c>
      <c r="H24" s="11" t="n">
        <v>20091627.85</v>
      </c>
      <c r="I24" s="12" t="n">
        <v>81.952055184904</v>
      </c>
      <c r="J24" s="11" t="n">
        <v>7739280.400000006</v>
      </c>
      <c r="K24" s="12" t="n">
        <v>6.952055184903998</v>
      </c>
      <c r="L24" s="11" t="n">
        <v>121642673.5333334</v>
      </c>
      <c r="M24" s="11" t="n">
        <v>10319040.53333335</v>
      </c>
      <c r="N24" t="inlineStr">
        <is>
          <t>Above pace</t>
        </is>
      </c>
    </row>
    <row r="25">
      <c r="A25" t="inlineStr">
        <is>
          <t>Enterprise Debt Service</t>
        </is>
      </c>
      <c r="B25" t="inlineStr">
        <is>
          <t>Airport Revenue Bond Redemption Fund</t>
        </is>
      </c>
      <c r="C25" s="11" t="n">
        <v>104909375</v>
      </c>
      <c r="D25" s="11" t="n">
        <v>103921048.62</v>
      </c>
      <c r="E25" t="n">
        <v>2</v>
      </c>
      <c r="F25" s="12" t="n">
        <v>75</v>
      </c>
      <c r="G25" s="11" t="n">
        <v>78682031.25</v>
      </c>
      <c r="H25" s="11" t="n">
        <v>988326.3799999952</v>
      </c>
      <c r="I25" s="12" t="n">
        <v>99.05792367936613</v>
      </c>
      <c r="J25" s="11" t="n">
        <v>25239017.37</v>
      </c>
      <c r="K25" s="12" t="n">
        <v>24.05792367936613</v>
      </c>
      <c r="L25" s="11" t="n">
        <v>138561398.16</v>
      </c>
      <c r="M25" s="11" t="n">
        <v>33652023.16</v>
      </c>
      <c r="N25" t="inlineStr">
        <is>
          <t>Above pace</t>
        </is>
      </c>
    </row>
    <row r="26">
      <c r="A26" t="inlineStr">
        <is>
          <t>Austin Public Health</t>
        </is>
      </c>
      <c r="B26" t="inlineStr">
        <is>
          <t>General Fund</t>
        </is>
      </c>
      <c r="C26" s="11" t="n">
        <v>90603874</v>
      </c>
      <c r="D26" s="11" t="n">
        <v>66051210.13</v>
      </c>
      <c r="E26" t="n">
        <v>2020</v>
      </c>
      <c r="F26" s="12" t="n">
        <v>75</v>
      </c>
      <c r="G26" s="11" t="n">
        <v>67952905.5</v>
      </c>
      <c r="H26" s="11" t="n">
        <v>24552663.87</v>
      </c>
      <c r="I26" s="12" t="n">
        <v>72.9010882360284</v>
      </c>
      <c r="J26" s="11" t="n">
        <v>-1901695.369999997</v>
      </c>
      <c r="K26" s="12" t="n">
        <v>-2.0989117639716</v>
      </c>
      <c r="L26" s="11" t="n">
        <v>88068280.17333333</v>
      </c>
      <c r="M26" s="11" t="n">
        <v>-2535593.826666668</v>
      </c>
      <c r="N26" t="inlineStr">
        <is>
          <t>Near pace</t>
        </is>
      </c>
    </row>
    <row r="27">
      <c r="A27" t="inlineStr">
        <is>
          <t>Fleet Services</t>
        </is>
      </c>
      <c r="B27" t="inlineStr">
        <is>
          <t>Fleet Services Fund</t>
        </is>
      </c>
      <c r="C27" s="11" t="n">
        <v>81400689</v>
      </c>
      <c r="D27" s="11" t="n">
        <v>65955518.39</v>
      </c>
      <c r="E27" t="n">
        <v>1170</v>
      </c>
      <c r="F27" s="12" t="n">
        <v>75</v>
      </c>
      <c r="G27" s="11" t="n">
        <v>61050516.75</v>
      </c>
      <c r="H27" s="11" t="n">
        <v>15445170.61</v>
      </c>
      <c r="I27" s="12" t="n">
        <v>81.02574953634607</v>
      </c>
      <c r="J27" s="11" t="n">
        <v>4905001.640000001</v>
      </c>
      <c r="K27" s="12" t="n">
        <v>6.025749536346069</v>
      </c>
      <c r="L27" s="11" t="n">
        <v>87940691.18666667</v>
      </c>
      <c r="M27" s="11" t="n">
        <v>6540002.186666667</v>
      </c>
      <c r="N27" t="inlineStr">
        <is>
          <t>Above pace</t>
        </is>
      </c>
    </row>
    <row r="28">
      <c r="A28" t="inlineStr">
        <is>
          <t>Austin Public Library</t>
        </is>
      </c>
      <c r="B28" t="inlineStr">
        <is>
          <t>General Fund</t>
        </is>
      </c>
      <c r="C28" s="11" t="n">
        <v>80022495</v>
      </c>
      <c r="D28" s="11" t="n">
        <v>62595750.17</v>
      </c>
      <c r="E28" t="n">
        <v>856</v>
      </c>
      <c r="F28" s="12" t="n">
        <v>75</v>
      </c>
      <c r="G28" s="11" t="n">
        <v>60016871.25</v>
      </c>
      <c r="H28" s="11" t="n">
        <v>17426744.83</v>
      </c>
      <c r="I28" s="12" t="n">
        <v>78.22269246916133</v>
      </c>
      <c r="J28" s="11" t="n">
        <v>2578878.920000002</v>
      </c>
      <c r="K28" s="12" t="n">
        <v>3.222692469161331</v>
      </c>
      <c r="L28" s="11" t="n">
        <v>83461000.22666667</v>
      </c>
      <c r="M28" s="11" t="n">
        <v>3438505.226666674</v>
      </c>
      <c r="N28" t="inlineStr">
        <is>
          <t>Near pace</t>
        </is>
      </c>
    </row>
    <row r="29">
      <c r="A29" t="inlineStr">
        <is>
          <t>Development Services</t>
        </is>
      </c>
      <c r="B29" t="inlineStr">
        <is>
          <t>Development Services Fund</t>
        </is>
      </c>
      <c r="C29" s="11" t="n">
        <v>74987971</v>
      </c>
      <c r="D29" s="11" t="n">
        <v>52429390.39</v>
      </c>
      <c r="E29" t="n">
        <v>1255</v>
      </c>
      <c r="F29" s="12" t="n">
        <v>75</v>
      </c>
      <c r="G29" s="11" t="n">
        <v>56240978.25</v>
      </c>
      <c r="H29" s="11" t="n">
        <v>22558580.61</v>
      </c>
      <c r="I29" s="12" t="n">
        <v>69.91706761875182</v>
      </c>
      <c r="J29" s="11" t="n">
        <v>-3811587.86</v>
      </c>
      <c r="K29" s="12" t="n">
        <v>-5.082932381248185</v>
      </c>
      <c r="L29" s="11" t="n">
        <v>69905853.85333334</v>
      </c>
      <c r="M29" s="11" t="n">
        <v>-5082117.146666661</v>
      </c>
      <c r="N29" t="inlineStr">
        <is>
          <t>Below pace</t>
        </is>
      </c>
    </row>
    <row r="30">
      <c r="A30" t="inlineStr">
        <is>
          <t>Financial Services</t>
        </is>
      </c>
      <c r="B30" t="inlineStr">
        <is>
          <t>Support Services Fund</t>
        </is>
      </c>
      <c r="C30" s="11" t="n">
        <v>73368178</v>
      </c>
      <c r="D30" s="11" t="n">
        <v>55568906.68</v>
      </c>
      <c r="E30" t="n">
        <v>1156</v>
      </c>
      <c r="F30" s="12" t="n">
        <v>75</v>
      </c>
      <c r="G30" s="11" t="n">
        <v>55026133.5</v>
      </c>
      <c r="H30" s="11" t="n">
        <v>17799271.32</v>
      </c>
      <c r="I30" s="12" t="n">
        <v>75.73979372910146</v>
      </c>
      <c r="J30" s="11" t="n">
        <v>542773.1799999997</v>
      </c>
      <c r="K30" s="12" t="n">
        <v>0.7397937291014642</v>
      </c>
      <c r="L30" s="11" t="n">
        <v>74091875.57333334</v>
      </c>
      <c r="M30" s="11" t="n">
        <v>723697.5733333379</v>
      </c>
      <c r="N30" t="inlineStr">
        <is>
          <t>Near pace</t>
        </is>
      </c>
    </row>
    <row r="31">
      <c r="A31" t="inlineStr">
        <is>
          <t>Austin Convention Center</t>
        </is>
      </c>
      <c r="B31" t="inlineStr">
        <is>
          <t>Convention Center Operating Fund</t>
        </is>
      </c>
      <c r="C31" s="11" t="n">
        <v>71893248</v>
      </c>
      <c r="D31" s="11" t="n">
        <v>55325667.58</v>
      </c>
      <c r="E31" t="n">
        <v>994</v>
      </c>
      <c r="F31" s="12" t="n">
        <v>75</v>
      </c>
      <c r="G31" s="11" t="n">
        <v>53919936</v>
      </c>
      <c r="H31" s="11" t="n">
        <v>16567580.42</v>
      </c>
      <c r="I31" s="12" t="n">
        <v>76.95530403634011</v>
      </c>
      <c r="J31" s="11" t="n">
        <v>1405731.579999998</v>
      </c>
      <c r="K31" s="12" t="n">
        <v>1.955304036340109</v>
      </c>
      <c r="L31" s="11" t="n">
        <v>73767556.77333333</v>
      </c>
      <c r="M31" s="11" t="n">
        <v>1874308.773333326</v>
      </c>
      <c r="N31" t="inlineStr">
        <is>
          <t>Near pace</t>
        </is>
      </c>
    </row>
    <row r="32">
      <c r="A32" t="inlineStr">
        <is>
          <t>Austin Convention Center</t>
        </is>
      </c>
      <c r="B32" t="inlineStr">
        <is>
          <t>Convention Center Tax Fund</t>
        </is>
      </c>
      <c r="C32" s="11" t="n">
        <v>68496708</v>
      </c>
      <c r="D32" s="11" t="n">
        <v>57080590</v>
      </c>
      <c r="E32" t="n">
        <v>1</v>
      </c>
      <c r="F32" s="12" t="n">
        <v>75</v>
      </c>
      <c r="G32" s="11" t="n">
        <v>51372531</v>
      </c>
      <c r="H32" s="11" t="n">
        <v>11416118</v>
      </c>
      <c r="I32" s="12" t="n">
        <v>83.33333333333333</v>
      </c>
      <c r="J32" s="11" t="n">
        <v>5708059</v>
      </c>
      <c r="K32" s="12" t="n">
        <v>8.333333333333329</v>
      </c>
      <c r="L32" s="11" t="n">
        <v>76107453.33333333</v>
      </c>
      <c r="M32" s="11" t="n">
        <v>7610745.333333328</v>
      </c>
      <c r="N32" t="inlineStr">
        <is>
          <t>Above pace</t>
        </is>
      </c>
    </row>
    <row r="33">
      <c r="A33" t="inlineStr">
        <is>
          <t>Public Works</t>
        </is>
      </c>
      <c r="B33" t="inlineStr">
        <is>
          <t>Capital Projects Management Fund</t>
        </is>
      </c>
      <c r="C33" s="11" t="n">
        <v>65093023</v>
      </c>
      <c r="D33" s="11" t="n">
        <v>42899146.76</v>
      </c>
      <c r="E33" t="n">
        <v>961</v>
      </c>
      <c r="F33" s="12" t="n">
        <v>75</v>
      </c>
      <c r="G33" s="11" t="n">
        <v>48819767.25</v>
      </c>
      <c r="H33" s="11" t="n">
        <v>22193876.24</v>
      </c>
      <c r="I33" s="12" t="n">
        <v>65.90437005821653</v>
      </c>
      <c r="J33" s="11" t="n">
        <v>-5920620.490000002</v>
      </c>
      <c r="K33" s="12" t="n">
        <v>-9.095629941783471</v>
      </c>
      <c r="L33" s="11" t="n">
        <v>57198862.34666666</v>
      </c>
      <c r="M33" s="11" t="n">
        <v>-7894160.653333336</v>
      </c>
      <c r="N33" t="inlineStr">
        <is>
          <t>Below pace</t>
        </is>
      </c>
    </row>
    <row r="34">
      <c r="A34" t="inlineStr">
        <is>
          <t>Nondepartmental</t>
        </is>
      </c>
      <c r="B34" t="inlineStr">
        <is>
          <t>General Fund</t>
        </is>
      </c>
      <c r="C34" s="11" t="n">
        <v>57207068</v>
      </c>
      <c r="D34" s="11" t="n">
        <v>42560167.51</v>
      </c>
      <c r="E34" t="n">
        <v>19</v>
      </c>
      <c r="F34" s="12" t="n">
        <v>75</v>
      </c>
      <c r="G34" s="11" t="n">
        <v>42905301</v>
      </c>
      <c r="H34" s="11" t="n">
        <v>14646900.49</v>
      </c>
      <c r="I34" s="12" t="n">
        <v>74.39669432105838</v>
      </c>
      <c r="J34" s="11" t="n">
        <v>-345133.4900000021</v>
      </c>
      <c r="K34" s="12" t="n">
        <v>-0.6033056789416236</v>
      </c>
      <c r="L34" s="11" t="n">
        <v>56746890.01333333</v>
      </c>
      <c r="M34" s="11" t="n">
        <v>-460177.9866666719</v>
      </c>
      <c r="N34" t="inlineStr">
        <is>
          <t>Near pace</t>
        </is>
      </c>
    </row>
    <row r="35">
      <c r="A35" t="inlineStr">
        <is>
          <t>Management Services</t>
        </is>
      </c>
      <c r="B35" t="inlineStr">
        <is>
          <t>Support Services Fund</t>
        </is>
      </c>
      <c r="C35" s="11" t="n">
        <v>53640916</v>
      </c>
      <c r="D35" s="11" t="n">
        <v>35766245.25</v>
      </c>
      <c r="E35" t="n">
        <v>1570</v>
      </c>
      <c r="F35" s="12" t="n">
        <v>75</v>
      </c>
      <c r="G35" s="11" t="n">
        <v>40230687</v>
      </c>
      <c r="H35" s="11" t="n">
        <v>17874670.75</v>
      </c>
      <c r="I35" s="12" t="n">
        <v>66.67717093048896</v>
      </c>
      <c r="J35" s="11" t="n">
        <v>-4464441.75</v>
      </c>
      <c r="K35" s="12" t="n">
        <v>-8.322829069511045</v>
      </c>
      <c r="L35" s="11" t="n">
        <v>47688327</v>
      </c>
      <c r="M35" s="11" t="n">
        <v>-5952589</v>
      </c>
      <c r="N35" t="inlineStr">
        <is>
          <t>Below pace</t>
        </is>
      </c>
    </row>
    <row r="36">
      <c r="A36" t="inlineStr">
        <is>
          <t>Homeless Strategy Office</t>
        </is>
      </c>
      <c r="B36" t="inlineStr">
        <is>
          <t>General Fund</t>
        </is>
      </c>
      <c r="C36" s="11" t="n">
        <v>48660157</v>
      </c>
      <c r="D36" s="11" t="n">
        <v>24203434.63</v>
      </c>
      <c r="E36" t="n">
        <v>197</v>
      </c>
      <c r="F36" s="12" t="n">
        <v>75</v>
      </c>
      <c r="G36" s="11" t="n">
        <v>36495117.75</v>
      </c>
      <c r="H36" s="11" t="n">
        <v>24456722.37</v>
      </c>
      <c r="I36" s="12" t="n">
        <v>49.73973805715424</v>
      </c>
      <c r="J36" s="11" t="n">
        <v>-12291683.12</v>
      </c>
      <c r="K36" s="12" t="n">
        <v>-25.26026194284577</v>
      </c>
      <c r="L36" s="11" t="n">
        <v>32271246.17333333</v>
      </c>
      <c r="M36" s="11" t="n">
        <v>-16388910.82666667</v>
      </c>
      <c r="N36" t="inlineStr">
        <is>
          <t>Below pace</t>
        </is>
      </c>
    </row>
    <row r="37">
      <c r="A37" t="inlineStr">
        <is>
          <t>Municipal Court</t>
        </is>
      </c>
      <c r="B37" t="inlineStr">
        <is>
          <t>General Fund</t>
        </is>
      </c>
      <c r="C37" s="11" t="n">
        <v>45846698</v>
      </c>
      <c r="D37" s="11" t="n">
        <v>34133959.58</v>
      </c>
      <c r="E37" t="n">
        <v>678</v>
      </c>
      <c r="F37" s="12" t="n">
        <v>75</v>
      </c>
      <c r="G37" s="11" t="n">
        <v>34385023.5</v>
      </c>
      <c r="H37" s="11" t="n">
        <v>11712738.42</v>
      </c>
      <c r="I37" s="12" t="n">
        <v>74.45238385543055</v>
      </c>
      <c r="J37" s="11" t="n">
        <v>-251063.9200000018</v>
      </c>
      <c r="K37" s="12" t="n">
        <v>-0.5476161445694459</v>
      </c>
      <c r="L37" s="11" t="n">
        <v>45511946.10666666</v>
      </c>
      <c r="M37" s="11" t="n">
        <v>-334751.8933333382</v>
      </c>
      <c r="N37" t="inlineStr">
        <is>
          <t>Near pace</t>
        </is>
      </c>
    </row>
    <row r="38">
      <c r="A38" t="inlineStr">
        <is>
          <t>Austin Convention Center</t>
        </is>
      </c>
      <c r="B38" t="inlineStr">
        <is>
          <t>Convention Center Capital Fund</t>
        </is>
      </c>
      <c r="C38" s="11" t="n">
        <v>37306706</v>
      </c>
      <c r="D38" s="11" t="n">
        <v>20858638</v>
      </c>
      <c r="E38" t="n">
        <v>2</v>
      </c>
      <c r="F38" s="12" t="n">
        <v>75</v>
      </c>
      <c r="G38" s="11" t="n">
        <v>27980029.5</v>
      </c>
      <c r="H38" s="11" t="n">
        <v>16448068</v>
      </c>
      <c r="I38" s="12" t="n">
        <v>55.91122947172018</v>
      </c>
      <c r="J38" s="11" t="n">
        <v>-7121391.5</v>
      </c>
      <c r="K38" s="12" t="n">
        <v>-19.08877052827982</v>
      </c>
      <c r="L38" s="11" t="n">
        <v>27811517.33333333</v>
      </c>
      <c r="M38" s="11" t="n">
        <v>-9495188.666666668</v>
      </c>
      <c r="N38" t="inlineStr">
        <is>
          <t>Below pace</t>
        </is>
      </c>
    </row>
    <row r="39">
      <c r="A39" t="inlineStr">
        <is>
          <t>Development Services</t>
        </is>
      </c>
      <c r="B39" t="inlineStr">
        <is>
          <t>Austin Code Fund</t>
        </is>
      </c>
      <c r="C39" s="11" t="n">
        <v>35723066</v>
      </c>
      <c r="D39" s="11" t="n">
        <v>27361897.24</v>
      </c>
      <c r="E39" t="n">
        <v>924</v>
      </c>
      <c r="F39" s="12" t="n">
        <v>75</v>
      </c>
      <c r="G39" s="11" t="n">
        <v>26792299.5</v>
      </c>
      <c r="H39" s="11" t="n">
        <v>8361168.760000002</v>
      </c>
      <c r="I39" s="12" t="n">
        <v>76.59448167186993</v>
      </c>
      <c r="J39" s="11" t="n">
        <v>569597.7399999984</v>
      </c>
      <c r="K39" s="12" t="n">
        <v>1.594481671869929</v>
      </c>
      <c r="L39" s="11" t="n">
        <v>36482529.65333333</v>
      </c>
      <c r="M39" s="11" t="n">
        <v>759463.6533333287</v>
      </c>
      <c r="N39" t="inlineStr">
        <is>
          <t>Near pace</t>
        </is>
      </c>
    </row>
    <row r="40">
      <c r="A40" t="inlineStr">
        <is>
          <t>Communications &amp; Technology Management</t>
        </is>
      </c>
      <c r="B40" t="inlineStr">
        <is>
          <t>Combined Transportation, Emergency &amp; Communications Ctr Fund</t>
        </is>
      </c>
      <c r="C40" s="11" t="n">
        <v>34342962</v>
      </c>
      <c r="D40" s="11" t="n">
        <v>26172729.62</v>
      </c>
      <c r="E40" t="n">
        <v>240</v>
      </c>
      <c r="F40" s="12" t="n">
        <v>75</v>
      </c>
      <c r="G40" s="11" t="n">
        <v>25757221.5</v>
      </c>
      <c r="H40" s="11" t="n">
        <v>8170232.379999999</v>
      </c>
      <c r="I40" s="12" t="n">
        <v>76.20987851892332</v>
      </c>
      <c r="J40" s="11" t="n">
        <v>415508.120000001</v>
      </c>
      <c r="K40" s="12" t="n">
        <v>1.209878518923318</v>
      </c>
      <c r="L40" s="11" t="n">
        <v>34896972.82666667</v>
      </c>
      <c r="M40" s="11" t="n">
        <v>554010.8266666681</v>
      </c>
      <c r="N40" t="inlineStr">
        <is>
          <t>Near pace</t>
        </is>
      </c>
    </row>
    <row r="41">
      <c r="A41" t="inlineStr">
        <is>
          <t>Human Resources</t>
        </is>
      </c>
      <c r="B41" t="inlineStr">
        <is>
          <t>Support Services Fund</t>
        </is>
      </c>
      <c r="C41" s="11" t="n">
        <v>31839115</v>
      </c>
      <c r="D41" s="11" t="n">
        <v>22889959.25</v>
      </c>
      <c r="E41" t="n">
        <v>646</v>
      </c>
      <c r="F41" s="12" t="n">
        <v>75</v>
      </c>
      <c r="G41" s="11" t="n">
        <v>23879336.25</v>
      </c>
      <c r="H41" s="11" t="n">
        <v>8949155.75</v>
      </c>
      <c r="I41" s="12" t="n">
        <v>71.89257380426561</v>
      </c>
      <c r="J41" s="11" t="n">
        <v>-989377</v>
      </c>
      <c r="K41" s="12" t="n">
        <v>-3.107426195734391</v>
      </c>
      <c r="L41" s="11" t="n">
        <v>30519945.66666667</v>
      </c>
      <c r="M41" s="11" t="n">
        <v>-1319169.333333332</v>
      </c>
      <c r="N41" t="inlineStr">
        <is>
          <t>Near pace</t>
        </is>
      </c>
    </row>
    <row r="42">
      <c r="A42" t="inlineStr">
        <is>
          <t>Building Services</t>
        </is>
      </c>
      <c r="B42" t="inlineStr">
        <is>
          <t>Facilities Management Fund</t>
        </is>
      </c>
      <c r="C42" s="11" t="n">
        <v>31651952</v>
      </c>
      <c r="D42" s="11" t="n">
        <v>23189555.49</v>
      </c>
      <c r="E42" t="n">
        <v>762</v>
      </c>
      <c r="F42" s="12" t="n">
        <v>75</v>
      </c>
      <c r="G42" s="11" t="n">
        <v>23738964</v>
      </c>
      <c r="H42" s="11" t="n">
        <v>8462396.510000002</v>
      </c>
      <c r="I42" s="12" t="n">
        <v>73.26421918622901</v>
      </c>
      <c r="J42" s="11" t="n">
        <v>-549408.5100000016</v>
      </c>
      <c r="K42" s="12" t="n">
        <v>-1.735780813770987</v>
      </c>
      <c r="L42" s="11" t="n">
        <v>30919407.32</v>
      </c>
      <c r="M42" s="11" t="n">
        <v>-732544.6800000034</v>
      </c>
      <c r="N42" t="inlineStr">
        <is>
          <t>Near pace</t>
        </is>
      </c>
    </row>
    <row r="43">
      <c r="A43" t="inlineStr">
        <is>
          <t>Office of Arts, Culture, Music and Entertainment</t>
        </is>
      </c>
      <c r="B43" t="inlineStr">
        <is>
          <t>Historic Preservation Fund</t>
        </is>
      </c>
      <c r="C43" s="11" t="n">
        <v>31379499</v>
      </c>
      <c r="D43" s="11" t="n">
        <v>13043653.61</v>
      </c>
      <c r="E43" t="n">
        <v>13</v>
      </c>
      <c r="F43" s="12" t="n">
        <v>75</v>
      </c>
      <c r="G43" s="11" t="n">
        <v>23534624.25</v>
      </c>
      <c r="H43" s="11" t="n">
        <v>18335845.39</v>
      </c>
      <c r="I43" s="12" t="n">
        <v>41.56743742148337</v>
      </c>
      <c r="J43" s="11" t="n">
        <v>-10490970.64</v>
      </c>
      <c r="K43" s="12" t="n">
        <v>-33.43256257851663</v>
      </c>
      <c r="L43" s="11" t="n">
        <v>17391538.14666666</v>
      </c>
      <c r="M43" s="11" t="n">
        <v>-13987960.85333334</v>
      </c>
      <c r="N43" t="inlineStr">
        <is>
          <t>Below pace</t>
        </is>
      </c>
    </row>
    <row r="44">
      <c r="A44" t="inlineStr">
        <is>
          <t>Austin Water</t>
        </is>
      </c>
      <c r="B44" t="inlineStr">
        <is>
          <t>Austin Water Community Benefit Charge Fund</t>
        </is>
      </c>
      <c r="C44" s="11" t="n">
        <v>31185063</v>
      </c>
      <c r="D44" s="11" t="n">
        <v>20828123.99</v>
      </c>
      <c r="E44" t="n">
        <v>5</v>
      </c>
      <c r="F44" s="12" t="n">
        <v>75</v>
      </c>
      <c r="G44" s="11" t="n">
        <v>23388797.25</v>
      </c>
      <c r="H44" s="11" t="n">
        <v>10356939.01</v>
      </c>
      <c r="I44" s="12" t="n">
        <v>66.78878279001712</v>
      </c>
      <c r="J44" s="11" t="n">
        <v>-2560673.260000002</v>
      </c>
      <c r="K44" s="12" t="n">
        <v>-8.211217209982877</v>
      </c>
      <c r="L44" s="11" t="n">
        <v>27770831.98666666</v>
      </c>
      <c r="M44" s="11" t="n">
        <v>-3414231.013333336</v>
      </c>
      <c r="N44" t="inlineStr">
        <is>
          <t>Below pace</t>
        </is>
      </c>
    </row>
    <row r="45">
      <c r="A45" t="inlineStr">
        <is>
          <t>Enterprise Debt Service</t>
        </is>
      </c>
      <c r="B45" t="inlineStr">
        <is>
          <t>Convention Center HOT Debt Service Fund-Subordinate Lien</t>
        </is>
      </c>
      <c r="C45" s="11" t="n">
        <v>30616895</v>
      </c>
      <c r="D45" s="11" t="n">
        <v>8171377.35</v>
      </c>
      <c r="E45" t="n">
        <v>4</v>
      </c>
      <c r="F45" s="12" t="n">
        <v>75</v>
      </c>
      <c r="G45" s="11" t="n">
        <v>22962671.25</v>
      </c>
      <c r="H45" s="11" t="n">
        <v>22445517.65</v>
      </c>
      <c r="I45" s="12" t="n">
        <v>26.68911184494705</v>
      </c>
      <c r="J45" s="11" t="n">
        <v>-14791293.9</v>
      </c>
      <c r="K45" s="12" t="n">
        <v>-48.31088815505295</v>
      </c>
      <c r="L45" s="11" t="n">
        <v>10895169.8</v>
      </c>
      <c r="M45" s="11" t="n">
        <v>-19721725.2</v>
      </c>
      <c r="N45" t="inlineStr">
        <is>
          <t>Below pace</t>
        </is>
      </c>
    </row>
    <row r="46">
      <c r="A46" t="inlineStr">
        <is>
          <t>Austin Convention Center</t>
        </is>
      </c>
      <c r="B46" t="inlineStr">
        <is>
          <t>Convention Center Venue Project Fund</t>
        </is>
      </c>
      <c r="C46" s="11" t="n">
        <v>30520088</v>
      </c>
      <c r="D46" s="11" t="n">
        <v>23138662.5</v>
      </c>
      <c r="E46" t="n">
        <v>2</v>
      </c>
      <c r="F46" s="12" t="n">
        <v>75</v>
      </c>
      <c r="G46" s="11" t="n">
        <v>22890066</v>
      </c>
      <c r="H46" s="11" t="n">
        <v>7381425.5</v>
      </c>
      <c r="I46" s="12" t="n">
        <v>75.81453402100283</v>
      </c>
      <c r="J46" s="11" t="n">
        <v>248596.5</v>
      </c>
      <c r="K46" s="12" t="n">
        <v>0.814534021002828</v>
      </c>
      <c r="L46" s="11" t="n">
        <v>30851550</v>
      </c>
      <c r="M46" s="11" t="n">
        <v>331462</v>
      </c>
      <c r="N46" t="inlineStr">
        <is>
          <t>Near pace</t>
        </is>
      </c>
    </row>
    <row r="47">
      <c r="A47" t="inlineStr">
        <is>
          <t>Austin Convention Center</t>
        </is>
      </c>
      <c r="B47" t="inlineStr">
        <is>
          <t>Tourism Public Improvement District</t>
        </is>
      </c>
      <c r="C47" s="11" t="n">
        <v>27878795</v>
      </c>
      <c r="D47" s="11" t="n">
        <v>13918826.29</v>
      </c>
      <c r="E47" t="n">
        <v>4</v>
      </c>
      <c r="F47" s="12" t="n">
        <v>75</v>
      </c>
      <c r="G47" s="11" t="n">
        <v>20909096.25</v>
      </c>
      <c r="H47" s="11" t="n">
        <v>13959968.71</v>
      </c>
      <c r="I47" s="12" t="n">
        <v>49.92621198297846</v>
      </c>
      <c r="J47" s="11" t="n">
        <v>-6990269.959999999</v>
      </c>
      <c r="K47" s="12" t="n">
        <v>-25.07378801702155</v>
      </c>
      <c r="L47" s="11" t="n">
        <v>18558435.05333333</v>
      </c>
      <c r="M47" s="11" t="n">
        <v>-9320359.946666664</v>
      </c>
      <c r="N47" t="inlineStr">
        <is>
          <t>Below pace</t>
        </is>
      </c>
    </row>
    <row r="48">
      <c r="A48" t="inlineStr">
        <is>
          <t>Animal Services</t>
        </is>
      </c>
      <c r="B48" t="inlineStr">
        <is>
          <t>General Fund</t>
        </is>
      </c>
      <c r="C48" s="11" t="n">
        <v>25107547</v>
      </c>
      <c r="D48" s="11" t="n">
        <v>18383155.3</v>
      </c>
      <c r="E48" t="n">
        <v>430</v>
      </c>
      <c r="F48" s="12" t="n">
        <v>75</v>
      </c>
      <c r="G48" s="11" t="n">
        <v>18830660.25</v>
      </c>
      <c r="H48" s="11" t="n">
        <v>6724391.699999999</v>
      </c>
      <c r="I48" s="12" t="n">
        <v>73.21764766585919</v>
      </c>
      <c r="J48" s="11" t="n">
        <v>-447504.9499999993</v>
      </c>
      <c r="K48" s="12" t="n">
        <v>-1.78235233414081</v>
      </c>
      <c r="L48" s="11" t="n">
        <v>24510873.73333333</v>
      </c>
      <c r="M48" s="11" t="n">
        <v>-596673.2666666657</v>
      </c>
      <c r="N48" t="inlineStr">
        <is>
          <t>Near pace</t>
        </is>
      </c>
    </row>
    <row r="49">
      <c r="A49" t="inlineStr">
        <is>
          <t>Neighborhood Housing &amp; Community Development</t>
        </is>
      </c>
      <c r="B49" t="inlineStr">
        <is>
          <t>Homestead Preservation Reinvestment Tax Increment Fund</t>
        </is>
      </c>
      <c r="C49" s="11" t="n">
        <v>24019067</v>
      </c>
      <c r="D49" s="11" t="n">
        <v>600000</v>
      </c>
      <c r="E49" t="n">
        <v>6</v>
      </c>
      <c r="F49" s="12" t="n">
        <v>75</v>
      </c>
      <c r="G49" s="11" t="n">
        <v>18014300.25</v>
      </c>
      <c r="H49" s="11" t="n">
        <v>23419067</v>
      </c>
      <c r="I49" s="12" t="n">
        <v>2.498015430824186</v>
      </c>
      <c r="J49" s="11" t="n">
        <v>-17414300.25</v>
      </c>
      <c r="K49" s="12" t="n">
        <v>-72.50198456917582</v>
      </c>
      <c r="L49" s="11" t="n">
        <v>800000</v>
      </c>
      <c r="M49" s="11" t="n">
        <v>-23219067</v>
      </c>
      <c r="N49" t="inlineStr">
        <is>
          <t>Below pace</t>
        </is>
      </c>
    </row>
    <row r="50">
      <c r="A50" t="inlineStr">
        <is>
          <t>Building Services</t>
        </is>
      </c>
      <c r="B50" t="inlineStr">
        <is>
          <t>Support Services Fund</t>
        </is>
      </c>
      <c r="C50" s="11" t="n">
        <v>23821653</v>
      </c>
      <c r="D50" s="11" t="n">
        <v>20147145.04</v>
      </c>
      <c r="E50" t="n">
        <v>675</v>
      </c>
      <c r="F50" s="12" t="n">
        <v>75</v>
      </c>
      <c r="G50" s="11" t="n">
        <v>17866239.75</v>
      </c>
      <c r="H50" s="11" t="n">
        <v>3674507.960000001</v>
      </c>
      <c r="I50" s="12" t="n">
        <v>84.57492450251038</v>
      </c>
      <c r="J50" s="11" t="n">
        <v>2280905.289999999</v>
      </c>
      <c r="K50" s="12" t="n">
        <v>9.574924502510385</v>
      </c>
      <c r="L50" s="11" t="n">
        <v>26862860.05333333</v>
      </c>
      <c r="M50" s="11" t="n">
        <v>3041207.053333331</v>
      </c>
      <c r="N50" t="inlineStr">
        <is>
          <t>Above pace</t>
        </is>
      </c>
    </row>
    <row r="51">
      <c r="A51" t="inlineStr">
        <is>
          <t>Financial Services</t>
        </is>
      </c>
      <c r="B51" t="inlineStr">
        <is>
          <t>Waller Creek Tax Increment Financing Fund</t>
        </is>
      </c>
      <c r="C51" s="11" t="n">
        <v>23643086</v>
      </c>
      <c r="D51" s="11" t="n">
        <v>19702571.7</v>
      </c>
      <c r="E51" t="n">
        <v>1</v>
      </c>
      <c r="F51" s="12" t="n">
        <v>75</v>
      </c>
      <c r="G51" s="11" t="n">
        <v>17732314.5</v>
      </c>
      <c r="H51" s="11" t="n">
        <v>3940514.300000001</v>
      </c>
      <c r="I51" s="12" t="n">
        <v>83.33333347431888</v>
      </c>
      <c r="J51" s="11" t="n">
        <v>1970257.199999999</v>
      </c>
      <c r="K51" s="12" t="n">
        <v>8.333333474318877</v>
      </c>
      <c r="L51" s="11" t="n">
        <v>26270095.6</v>
      </c>
      <c r="M51" s="11" t="n">
        <v>2627009.599999998</v>
      </c>
      <c r="N51" t="inlineStr">
        <is>
          <t>Above pace</t>
        </is>
      </c>
    </row>
    <row r="52">
      <c r="A52" t="inlineStr">
        <is>
          <t>Public Works</t>
        </is>
      </c>
      <c r="B52" t="inlineStr">
        <is>
          <t>Parking Management Fund</t>
        </is>
      </c>
      <c r="C52" s="11" t="n">
        <v>23603005</v>
      </c>
      <c r="D52" s="11" t="n">
        <v>16549347.97</v>
      </c>
      <c r="E52" t="n">
        <v>325</v>
      </c>
      <c r="F52" s="12" t="n">
        <v>75</v>
      </c>
      <c r="G52" s="11" t="n">
        <v>17702253.75</v>
      </c>
      <c r="H52" s="11" t="n">
        <v>7053657.029999999</v>
      </c>
      <c r="I52" s="12" t="n">
        <v>70.11542797198916</v>
      </c>
      <c r="J52" s="11" t="n">
        <v>-1152905.779999999</v>
      </c>
      <c r="K52" s="12" t="n">
        <v>-4.884572028010837</v>
      </c>
      <c r="L52" s="11" t="n">
        <v>22065797.29333333</v>
      </c>
      <c r="M52" s="11" t="n">
        <v>-1537207.706666667</v>
      </c>
      <c r="N52" t="inlineStr">
        <is>
          <t>Near pace</t>
        </is>
      </c>
    </row>
    <row r="53">
      <c r="A53" t="inlineStr">
        <is>
          <t>Law</t>
        </is>
      </c>
      <c r="B53" t="inlineStr">
        <is>
          <t>Support Services Fund</t>
        </is>
      </c>
      <c r="C53" s="11" t="n">
        <v>22766742</v>
      </c>
      <c r="D53" s="11" t="n">
        <v>18136777.2</v>
      </c>
      <c r="E53" t="n">
        <v>338</v>
      </c>
      <c r="F53" s="12" t="n">
        <v>75</v>
      </c>
      <c r="G53" s="11" t="n">
        <v>17075056.5</v>
      </c>
      <c r="H53" s="11" t="n">
        <v>4629964.800000001</v>
      </c>
      <c r="I53" s="12" t="n">
        <v>79.66347227020889</v>
      </c>
      <c r="J53" s="11" t="n">
        <v>1061720.699999999</v>
      </c>
      <c r="K53" s="12" t="n">
        <v>4.663472270208885</v>
      </c>
      <c r="L53" s="11" t="n">
        <v>24182369.6</v>
      </c>
      <c r="M53" s="11" t="n">
        <v>1415627.599999998</v>
      </c>
      <c r="N53" t="inlineStr">
        <is>
          <t>Near pace</t>
        </is>
      </c>
    </row>
    <row r="54">
      <c r="A54" t="inlineStr">
        <is>
          <t>Economic Development</t>
        </is>
      </c>
      <c r="B54" t="inlineStr">
        <is>
          <t>Economic Development Fund</t>
        </is>
      </c>
      <c r="C54" s="11" t="n">
        <v>22678367</v>
      </c>
      <c r="D54" s="11" t="n">
        <v>13304567.75</v>
      </c>
      <c r="E54" t="n">
        <v>547</v>
      </c>
      <c r="F54" s="12" t="n">
        <v>75</v>
      </c>
      <c r="G54" s="11" t="n">
        <v>17008775.25</v>
      </c>
      <c r="H54" s="11" t="n">
        <v>9373799.25</v>
      </c>
      <c r="I54" s="12" t="n">
        <v>58.66633937972694</v>
      </c>
      <c r="J54" s="11" t="n">
        <v>-3704207.5</v>
      </c>
      <c r="K54" s="12" t="n">
        <v>-16.33366062027306</v>
      </c>
      <c r="L54" s="11" t="n">
        <v>17739423.66666667</v>
      </c>
      <c r="M54" s="11" t="n">
        <v>-4938943.333333332</v>
      </c>
      <c r="N54" t="inlineStr">
        <is>
          <t>Below pace</t>
        </is>
      </c>
    </row>
    <row r="55">
      <c r="A55" t="inlineStr">
        <is>
          <t>Nondepartmental</t>
        </is>
      </c>
      <c r="B55" t="inlineStr">
        <is>
          <t>General Fund Budget Stabilization Reserve Fund</t>
        </is>
      </c>
      <c r="C55" s="11" t="n">
        <v>22582842</v>
      </c>
      <c r="D55" s="11" t="n">
        <v>18773201.65</v>
      </c>
      <c r="E55" t="n">
        <v>9</v>
      </c>
      <c r="F55" s="12" t="n">
        <v>75</v>
      </c>
      <c r="G55" s="11" t="n">
        <v>16937131.5</v>
      </c>
      <c r="H55" s="11" t="n">
        <v>3809640.350000001</v>
      </c>
      <c r="I55" s="12" t="n">
        <v>83.13037681439739</v>
      </c>
      <c r="J55" s="11" t="n">
        <v>1836070.149999999</v>
      </c>
      <c r="K55" s="12" t="n">
        <v>8.130376814397394</v>
      </c>
      <c r="L55" s="11" t="n">
        <v>25030935.53333333</v>
      </c>
      <c r="M55" s="11" t="n">
        <v>2448093.533333332</v>
      </c>
      <c r="N55" t="inlineStr">
        <is>
          <t>Above pace</t>
        </is>
      </c>
    </row>
    <row r="56">
      <c r="A56" t="inlineStr">
        <is>
          <t>Human Resources</t>
        </is>
      </c>
      <c r="B56" t="inlineStr">
        <is>
          <t>Workers' Compensation Fund</t>
        </is>
      </c>
      <c r="C56" s="11" t="n">
        <v>21431332</v>
      </c>
      <c r="D56" s="11" t="n">
        <v>12660244.45</v>
      </c>
      <c r="E56" t="n">
        <v>25</v>
      </c>
      <c r="F56" s="12" t="n">
        <v>75</v>
      </c>
      <c r="G56" s="11" t="n">
        <v>16073499</v>
      </c>
      <c r="H56" s="11" t="n">
        <v>8771087.549999999</v>
      </c>
      <c r="I56" s="12" t="n">
        <v>59.07353052064146</v>
      </c>
      <c r="J56" s="11" t="n">
        <v>-3413254.549999999</v>
      </c>
      <c r="K56" s="12" t="n">
        <v>-15.92646947935854</v>
      </c>
      <c r="L56" s="11" t="n">
        <v>16880325.93333333</v>
      </c>
      <c r="M56" s="11" t="n">
        <v>-4551006.066666666</v>
      </c>
      <c r="N56" t="inlineStr">
        <is>
          <t>Below pace</t>
        </is>
      </c>
    </row>
    <row r="57">
      <c r="A57" t="inlineStr">
        <is>
          <t>Communications &amp; Technology Management</t>
        </is>
      </c>
      <c r="B57" t="inlineStr">
        <is>
          <t>Wireless Communication Services Fund</t>
        </is>
      </c>
      <c r="C57" s="11" t="n">
        <v>21112598</v>
      </c>
      <c r="D57" s="11" t="n">
        <v>15385508.54</v>
      </c>
      <c r="E57" t="n">
        <v>307</v>
      </c>
      <c r="F57" s="12" t="n">
        <v>75</v>
      </c>
      <c r="G57" s="11" t="n">
        <v>15834448.5</v>
      </c>
      <c r="H57" s="11" t="n">
        <v>5727089.460000001</v>
      </c>
      <c r="I57" s="12" t="n">
        <v>72.87359206100547</v>
      </c>
      <c r="J57" s="11" t="n">
        <v>-448939.9600000009</v>
      </c>
      <c r="K57" s="12" t="n">
        <v>-2.126407938994532</v>
      </c>
      <c r="L57" s="11" t="n">
        <v>20514011.38666667</v>
      </c>
      <c r="M57" s="11" t="n">
        <v>-598586.6133333333</v>
      </c>
      <c r="N57" t="inlineStr">
        <is>
          <t>Near pace</t>
        </is>
      </c>
    </row>
    <row r="58">
      <c r="A58" t="inlineStr">
        <is>
          <t>Austin Water</t>
        </is>
      </c>
      <c r="B58" t="inlineStr">
        <is>
          <t>W-Water Impact Fees</t>
        </is>
      </c>
      <c r="C58" s="11" t="n">
        <v>20010000</v>
      </c>
      <c r="D58" s="11" t="n">
        <v>20006546.49</v>
      </c>
      <c r="E58" t="n">
        <v>1</v>
      </c>
      <c r="F58" s="12" t="n">
        <v>75</v>
      </c>
      <c r="G58" s="11" t="n">
        <v>15007500</v>
      </c>
      <c r="H58" s="11" t="n">
        <v>3453.510000001639</v>
      </c>
      <c r="I58" s="12" t="n">
        <v>99.98274107946024</v>
      </c>
      <c r="J58" s="11" t="n">
        <v>4999046.489999998</v>
      </c>
      <c r="K58" s="12" t="n">
        <v>24.98274107946025</v>
      </c>
      <c r="L58" s="11" t="n">
        <v>26675395.32</v>
      </c>
      <c r="M58" s="11" t="n">
        <v>6665395.319999997</v>
      </c>
      <c r="N58" t="inlineStr">
        <is>
          <t>Above pace</t>
        </is>
      </c>
    </row>
    <row r="59">
      <c r="A59" t="inlineStr">
        <is>
          <t>Aviation</t>
        </is>
      </c>
      <c r="B59" t="inlineStr">
        <is>
          <t>New Airport PFC</t>
        </is>
      </c>
      <c r="C59" s="11" t="n">
        <v>18202587</v>
      </c>
      <c r="D59" s="11" t="n">
        <v>13838190.51</v>
      </c>
      <c r="E59" t="n">
        <v>1</v>
      </c>
      <c r="F59" s="12" t="n">
        <v>75</v>
      </c>
      <c r="G59" s="11" t="n">
        <v>13651940.25</v>
      </c>
      <c r="H59" s="11" t="n">
        <v>4364396.49</v>
      </c>
      <c r="I59" s="12" t="n">
        <v>76.02320763526635</v>
      </c>
      <c r="J59" s="11" t="n">
        <v>186250.2599999997</v>
      </c>
      <c r="K59" s="12" t="n">
        <v>1.023207635266346</v>
      </c>
      <c r="L59" s="11" t="n">
        <v>18450920.68</v>
      </c>
      <c r="M59" s="11" t="n">
        <v>248333.6799999997</v>
      </c>
      <c r="N59" t="inlineStr">
        <is>
          <t>Near pace</t>
        </is>
      </c>
    </row>
    <row r="60">
      <c r="A60" t="inlineStr">
        <is>
          <t>Enterprise Debt Service</t>
        </is>
      </c>
      <c r="B60" t="inlineStr">
        <is>
          <t>Convention Center Expansion Senior Lien Debt Service Fund</t>
        </is>
      </c>
      <c r="C60" s="11" t="n">
        <v>17858638</v>
      </c>
      <c r="D60" s="11" t="n">
        <v>0</v>
      </c>
      <c r="E60" t="n">
        <v>2</v>
      </c>
      <c r="F60" s="12" t="n">
        <v>75</v>
      </c>
      <c r="G60" s="11" t="n">
        <v>13393978.5</v>
      </c>
      <c r="H60" s="11" t="n">
        <v>17858638</v>
      </c>
      <c r="I60" s="12" t="n">
        <v>0</v>
      </c>
      <c r="J60" s="11" t="n">
        <v>-13393978.5</v>
      </c>
      <c r="K60" s="12" t="n">
        <v>-75</v>
      </c>
      <c r="L60" s="11" t="n">
        <v>0</v>
      </c>
      <c r="M60" s="11" t="n">
        <v>-17858638</v>
      </c>
      <c r="N60" t="inlineStr">
        <is>
          <t>Below pace</t>
        </is>
      </c>
    </row>
    <row r="61">
      <c r="A61" t="inlineStr">
        <is>
          <t>Parks &amp; Recreation</t>
        </is>
      </c>
      <c r="B61" t="inlineStr">
        <is>
          <t>Golf Fund</t>
        </is>
      </c>
      <c r="C61" s="11" t="n">
        <v>17611433</v>
      </c>
      <c r="D61" s="11" t="n">
        <v>13451892.48</v>
      </c>
      <c r="E61" t="n">
        <v>576</v>
      </c>
      <c r="F61" s="12" t="n">
        <v>75</v>
      </c>
      <c r="G61" s="11" t="n">
        <v>13208574.75</v>
      </c>
      <c r="H61" s="11" t="n">
        <v>4159540.52</v>
      </c>
      <c r="I61" s="12" t="n">
        <v>76.38158961851656</v>
      </c>
      <c r="J61" s="11" t="n">
        <v>243317.7300000004</v>
      </c>
      <c r="K61" s="12" t="n">
        <v>1.381589618516557</v>
      </c>
      <c r="L61" s="11" t="n">
        <v>17935856.64</v>
      </c>
      <c r="M61" s="11" t="n">
        <v>324423.6400000006</v>
      </c>
      <c r="N61" t="inlineStr">
        <is>
          <t>Near pace</t>
        </is>
      </c>
    </row>
    <row r="62">
      <c r="A62" t="inlineStr">
        <is>
          <t>Austin Water</t>
        </is>
      </c>
      <c r="B62" t="inlineStr">
        <is>
          <t>Austin Water Reclaimed Water Utility Operating Fund</t>
        </is>
      </c>
      <c r="C62" s="11" t="n">
        <v>17141734</v>
      </c>
      <c r="D62" s="11" t="n">
        <v>13375650.54</v>
      </c>
      <c r="E62" t="n">
        <v>88</v>
      </c>
      <c r="F62" s="12" t="n">
        <v>75</v>
      </c>
      <c r="G62" s="11" t="n">
        <v>12856300.5</v>
      </c>
      <c r="H62" s="11" t="n">
        <v>3766083.460000001</v>
      </c>
      <c r="I62" s="12" t="n">
        <v>78.02974039849177</v>
      </c>
      <c r="J62" s="11" t="n">
        <v>519350.0399999991</v>
      </c>
      <c r="K62" s="12" t="n">
        <v>3.029740398491768</v>
      </c>
      <c r="L62" s="11" t="n">
        <v>17834200.72</v>
      </c>
      <c r="M62" s="11" t="n">
        <v>692466.7199999988</v>
      </c>
      <c r="N62" t="inlineStr">
        <is>
          <t>Near pace</t>
        </is>
      </c>
    </row>
    <row r="63">
      <c r="A63" t="inlineStr">
        <is>
          <t>Office of Arts, Culture, Music and Entertainment</t>
        </is>
      </c>
      <c r="B63" t="inlineStr">
        <is>
          <t>Cultural Arts Fund</t>
        </is>
      </c>
      <c r="C63" s="11" t="n">
        <v>17000000</v>
      </c>
      <c r="D63" s="11" t="n">
        <v>4672482.140000001</v>
      </c>
      <c r="E63" t="n">
        <v>11</v>
      </c>
      <c r="F63" s="12" t="n">
        <v>75</v>
      </c>
      <c r="G63" s="11" t="n">
        <v>12750000</v>
      </c>
      <c r="H63" s="11" t="n">
        <v>12327517.86</v>
      </c>
      <c r="I63" s="12" t="n">
        <v>27.48518905882353</v>
      </c>
      <c r="J63" s="11" t="n">
        <v>-8077517.859999999</v>
      </c>
      <c r="K63" s="12" t="n">
        <v>-47.51481094117646</v>
      </c>
      <c r="L63" s="11" t="n">
        <v>6229976.186666667</v>
      </c>
      <c r="M63" s="11" t="n">
        <v>-10770023.81333333</v>
      </c>
      <c r="N63" t="inlineStr">
        <is>
          <t>Below pace</t>
        </is>
      </c>
    </row>
    <row r="64">
      <c r="A64" t="inlineStr">
        <is>
          <t>Austin Convention Center</t>
        </is>
      </c>
      <c r="B64" t="inlineStr">
        <is>
          <t>Convention Center Palmer Events Center Operating Fund</t>
        </is>
      </c>
      <c r="C64" s="11" t="n">
        <v>16164701</v>
      </c>
      <c r="D64" s="11" t="n">
        <v>13190439.56</v>
      </c>
      <c r="E64" t="n">
        <v>395</v>
      </c>
      <c r="F64" s="12" t="n">
        <v>75</v>
      </c>
      <c r="G64" s="11" t="n">
        <v>12123525.75</v>
      </c>
      <c r="H64" s="11" t="n">
        <v>2974261.439999999</v>
      </c>
      <c r="I64" s="12" t="n">
        <v>81.60026937708282</v>
      </c>
      <c r="J64" s="11" t="n">
        <v>1066913.81</v>
      </c>
      <c r="K64" s="12" t="n">
        <v>6.600269377082824</v>
      </c>
      <c r="L64" s="11" t="n">
        <v>17587252.74666667</v>
      </c>
      <c r="M64" s="11" t="n">
        <v>1422551.746666666</v>
      </c>
      <c r="N64" t="inlineStr">
        <is>
          <t>Above pace</t>
        </is>
      </c>
    </row>
    <row r="65">
      <c r="A65" t="inlineStr">
        <is>
          <t>Enterprise Debt Service</t>
        </is>
      </c>
      <c r="B65" t="inlineStr">
        <is>
          <t>Airport Bond Interest Holding Fund</t>
        </is>
      </c>
      <c r="C65" s="11" t="n">
        <v>16154688</v>
      </c>
      <c r="D65" s="11" t="n">
        <v>12641900</v>
      </c>
      <c r="E65" t="n">
        <v>1</v>
      </c>
      <c r="F65" s="12" t="n">
        <v>75</v>
      </c>
      <c r="G65" s="11" t="n">
        <v>12116016</v>
      </c>
      <c r="H65" s="11" t="n">
        <v>3512788</v>
      </c>
      <c r="I65" s="12" t="n">
        <v>78.25530273317565</v>
      </c>
      <c r="J65" s="11" t="n">
        <v>525884</v>
      </c>
      <c r="K65" s="12" t="n">
        <v>3.255302733175654</v>
      </c>
      <c r="L65" s="11" t="n">
        <v>16855866.66666667</v>
      </c>
      <c r="M65" s="11" t="n">
        <v>701178.6666666679</v>
      </c>
      <c r="N65" t="inlineStr">
        <is>
          <t>Near pace</t>
        </is>
      </c>
    </row>
    <row r="66">
      <c r="A66" t="inlineStr">
        <is>
          <t>Forensic Science</t>
        </is>
      </c>
      <c r="B66" t="inlineStr">
        <is>
          <t>General Fund</t>
        </is>
      </c>
      <c r="C66" s="11" t="n">
        <v>15949216</v>
      </c>
      <c r="D66" s="11" t="n">
        <v>10541455.92</v>
      </c>
      <c r="E66" t="n">
        <v>365</v>
      </c>
      <c r="F66" s="12" t="n">
        <v>75</v>
      </c>
      <c r="G66" s="11" t="n">
        <v>11961912</v>
      </c>
      <c r="H66" s="11" t="n">
        <v>5407760.08</v>
      </c>
      <c r="I66" s="12" t="n">
        <v>66.09388147981694</v>
      </c>
      <c r="J66" s="11" t="n">
        <v>-1420456.08</v>
      </c>
      <c r="K66" s="12" t="n">
        <v>-8.906118520183057</v>
      </c>
      <c r="L66" s="11" t="n">
        <v>14055274.56</v>
      </c>
      <c r="M66" s="11" t="n">
        <v>-1893941.44</v>
      </c>
      <c r="N66" t="inlineStr">
        <is>
          <t>Below pace</t>
        </is>
      </c>
    </row>
    <row r="67">
      <c r="A67" t="inlineStr">
        <is>
          <t>Austin Convention Center</t>
        </is>
      </c>
      <c r="B67" t="inlineStr">
        <is>
          <t>Town Lake Park Vehicle Rental Tax Fund</t>
        </is>
      </c>
      <c r="C67" s="11" t="n">
        <v>14998344</v>
      </c>
      <c r="D67" s="11" t="n">
        <v>12265151.6</v>
      </c>
      <c r="E67" t="n">
        <v>3</v>
      </c>
      <c r="F67" s="12" t="n">
        <v>75</v>
      </c>
      <c r="G67" s="11" t="n">
        <v>11248758</v>
      </c>
      <c r="H67" s="11" t="n">
        <v>2733192.399999999</v>
      </c>
      <c r="I67" s="12" t="n">
        <v>81.77670548161852</v>
      </c>
      <c r="J67" s="11" t="n">
        <v>1016393.600000002</v>
      </c>
      <c r="K67" s="12" t="n">
        <v>6.776705481618521</v>
      </c>
      <c r="L67" s="11" t="n">
        <v>16353535.46666667</v>
      </c>
      <c r="M67" s="11" t="n">
        <v>1355191.466666669</v>
      </c>
      <c r="N67" t="inlineStr">
        <is>
          <t>Above pace</t>
        </is>
      </c>
    </row>
    <row r="68">
      <c r="A68" t="inlineStr">
        <is>
          <t>Neighborhood Housing &amp; Community Development</t>
        </is>
      </c>
      <c r="B68" t="inlineStr">
        <is>
          <t>Neighborhood Housing-Housing Trust Fund</t>
        </is>
      </c>
      <c r="C68" s="11" t="n">
        <v>14933356</v>
      </c>
      <c r="D68" s="11" t="n">
        <v>8038482.29</v>
      </c>
      <c r="E68" t="n">
        <v>15</v>
      </c>
      <c r="F68" s="12" t="n">
        <v>75</v>
      </c>
      <c r="G68" s="11" t="n">
        <v>11200017</v>
      </c>
      <c r="H68" s="11" t="n">
        <v>6894873.71</v>
      </c>
      <c r="I68" s="12" t="n">
        <v>53.82904077288454</v>
      </c>
      <c r="J68" s="11" t="n">
        <v>-3161534.71</v>
      </c>
      <c r="K68" s="12" t="n">
        <v>-21.17095922711546</v>
      </c>
      <c r="L68" s="11" t="n">
        <v>10717976.38666667</v>
      </c>
      <c r="M68" s="11" t="n">
        <v>-4215379.613333333</v>
      </c>
      <c r="N68" t="inlineStr">
        <is>
          <t>Below pace</t>
        </is>
      </c>
    </row>
    <row r="69">
      <c r="A69" t="inlineStr">
        <is>
          <t>Mayor &amp; Council</t>
        </is>
      </c>
      <c r="B69" t="inlineStr">
        <is>
          <t>Support Services Fund</t>
        </is>
      </c>
      <c r="C69" s="11" t="n">
        <v>14426799</v>
      </c>
      <c r="D69" s="11" t="n">
        <v>9999008.539999999</v>
      </c>
      <c r="E69" t="n">
        <v>475</v>
      </c>
      <c r="F69" s="12" t="n">
        <v>75</v>
      </c>
      <c r="G69" s="11" t="n">
        <v>10820099.25</v>
      </c>
      <c r="H69" s="11" t="n">
        <v>4427790.460000001</v>
      </c>
      <c r="I69" s="12" t="n">
        <v>69.30857316304191</v>
      </c>
      <c r="J69" s="11" t="n">
        <v>-821090.7100000009</v>
      </c>
      <c r="K69" s="12" t="n">
        <v>-5.691426836958087</v>
      </c>
      <c r="L69" s="11" t="n">
        <v>13332011.38666666</v>
      </c>
      <c r="M69" s="11" t="n">
        <v>-1094787.613333335</v>
      </c>
      <c r="N69" t="inlineStr">
        <is>
          <t>Below pace</t>
        </is>
      </c>
    </row>
    <row r="70">
      <c r="A70" t="inlineStr">
        <is>
          <t>Financial Services</t>
        </is>
      </c>
      <c r="B70" t="inlineStr">
        <is>
          <t>Downtown Public Improvement District Fund</t>
        </is>
      </c>
      <c r="C70" s="11" t="n">
        <v>14416494</v>
      </c>
      <c r="D70" s="11" t="n">
        <v>3230685.23</v>
      </c>
      <c r="E70" t="n">
        <v>5</v>
      </c>
      <c r="F70" s="12" t="n">
        <v>75</v>
      </c>
      <c r="G70" s="11" t="n">
        <v>10812370.5</v>
      </c>
      <c r="H70" s="11" t="n">
        <v>11185808.77</v>
      </c>
      <c r="I70" s="12" t="n">
        <v>22.40964571552556</v>
      </c>
      <c r="J70" s="11" t="n">
        <v>-7581685.27</v>
      </c>
      <c r="K70" s="12" t="n">
        <v>-52.59035428447444</v>
      </c>
      <c r="L70" s="11" t="n">
        <v>4307580.306666667</v>
      </c>
      <c r="M70" s="11" t="n">
        <v>-10108913.69333333</v>
      </c>
      <c r="N70" t="inlineStr">
        <is>
          <t>Below pace</t>
        </is>
      </c>
    </row>
    <row r="71">
      <c r="A71" t="inlineStr">
        <is>
          <t>Financial Services</t>
        </is>
      </c>
      <c r="B71" t="inlineStr">
        <is>
          <t>Mueller Tax Increment Financing Fund</t>
        </is>
      </c>
      <c r="C71" s="11" t="n">
        <v>13896782</v>
      </c>
      <c r="D71" s="11" t="n">
        <v>11580651.7</v>
      </c>
      <c r="E71" t="n">
        <v>1</v>
      </c>
      <c r="F71" s="12" t="n">
        <v>75</v>
      </c>
      <c r="G71" s="11" t="n">
        <v>10422586.5</v>
      </c>
      <c r="H71" s="11" t="n">
        <v>2316130.300000001</v>
      </c>
      <c r="I71" s="12" t="n">
        <v>83.33333357319702</v>
      </c>
      <c r="J71" s="11" t="n">
        <v>1158065.199999999</v>
      </c>
      <c r="K71" s="12" t="n">
        <v>8.333333573197024</v>
      </c>
      <c r="L71" s="11" t="n">
        <v>15440868.93333333</v>
      </c>
      <c r="M71" s="11" t="n">
        <v>1544086.933333331</v>
      </c>
      <c r="N71" t="inlineStr">
        <is>
          <t>Above pace</t>
        </is>
      </c>
    </row>
    <row r="72">
      <c r="A72" t="inlineStr">
        <is>
          <t>Planning &amp; Zoning</t>
        </is>
      </c>
      <c r="B72" t="inlineStr">
        <is>
          <t>General Fund</t>
        </is>
      </c>
      <c r="C72" s="11" t="n">
        <v>13140082</v>
      </c>
      <c r="D72" s="11" t="n">
        <v>9706841.52</v>
      </c>
      <c r="E72" t="n">
        <v>401</v>
      </c>
      <c r="F72" s="12" t="n">
        <v>75</v>
      </c>
      <c r="G72" s="11" t="n">
        <v>9855061.5</v>
      </c>
      <c r="H72" s="11" t="n">
        <v>3433240.48</v>
      </c>
      <c r="I72" s="12" t="n">
        <v>73.87200110318946</v>
      </c>
      <c r="J72" s="11" t="n">
        <v>-148219.9800000004</v>
      </c>
      <c r="K72" s="12" t="n">
        <v>-1.127998896810539</v>
      </c>
      <c r="L72" s="11" t="n">
        <v>12942455.36</v>
      </c>
      <c r="M72" s="11" t="n">
        <v>-197626.6400000006</v>
      </c>
      <c r="N72" t="inlineStr">
        <is>
          <t>Near pace</t>
        </is>
      </c>
    </row>
    <row r="73">
      <c r="A73" t="inlineStr">
        <is>
          <t>Austin Conv &amp; Visitors Bureau</t>
        </is>
      </c>
      <c r="B73" t="inlineStr">
        <is>
          <t>Tourism And Promotion Fund</t>
        </is>
      </c>
      <c r="C73" s="11" t="n">
        <v>12913215</v>
      </c>
      <c r="D73" s="11" t="n">
        <v>9684912.060000001</v>
      </c>
      <c r="E73" t="n">
        <v>1</v>
      </c>
      <c r="F73" s="12" t="n">
        <v>75</v>
      </c>
      <c r="G73" s="11" t="n">
        <v>9684911.25</v>
      </c>
      <c r="H73" s="11" t="n">
        <v>3228302.939999999</v>
      </c>
      <c r="I73" s="12" t="n">
        <v>75.00000627264396</v>
      </c>
      <c r="J73" s="11" t="n">
        <v>0.8100000005215406</v>
      </c>
      <c r="K73" s="12" t="n">
        <v>6.272643958027402e-06</v>
      </c>
      <c r="L73" s="11" t="n">
        <v>12913216.08</v>
      </c>
      <c r="M73" s="11" t="n">
        <v>1.080000000074506</v>
      </c>
      <c r="N73" t="inlineStr">
        <is>
          <t>Near pace</t>
        </is>
      </c>
    </row>
    <row r="74">
      <c r="A74" t="inlineStr">
        <is>
          <t>Neighborhood Housing &amp; Community Development</t>
        </is>
      </c>
      <c r="B74" t="inlineStr">
        <is>
          <t>General Fund</t>
        </is>
      </c>
      <c r="C74" s="11" t="n">
        <v>12028860</v>
      </c>
      <c r="D74" s="11" t="n">
        <v>9519867</v>
      </c>
      <c r="E74" t="n">
        <v>235</v>
      </c>
      <c r="F74" s="12" t="n">
        <v>75</v>
      </c>
      <c r="G74" s="11" t="n">
        <v>9021645</v>
      </c>
      <c r="H74" s="11" t="n">
        <v>2508993</v>
      </c>
      <c r="I74" s="12" t="n">
        <v>79.14188875753813</v>
      </c>
      <c r="J74" s="11" t="n">
        <v>498222</v>
      </c>
      <c r="K74" s="12" t="n">
        <v>4.141888757538126</v>
      </c>
      <c r="L74" s="11" t="n">
        <v>12693156</v>
      </c>
      <c r="M74" s="11" t="n">
        <v>664296</v>
      </c>
      <c r="N74" t="inlineStr">
        <is>
          <t>Near pace</t>
        </is>
      </c>
    </row>
    <row r="75">
      <c r="A75" t="inlineStr">
        <is>
          <t>Office of Arts, Culture, Music and Entertainment</t>
        </is>
      </c>
      <c r="B75" t="inlineStr">
        <is>
          <t>General Fund</t>
        </is>
      </c>
      <c r="C75" s="11" t="n">
        <v>11392925</v>
      </c>
      <c r="D75" s="11" t="n">
        <v>8091650.03</v>
      </c>
      <c r="E75" t="n">
        <v>881</v>
      </c>
      <c r="F75" s="12" t="n">
        <v>75</v>
      </c>
      <c r="G75" s="11" t="n">
        <v>8544693.75</v>
      </c>
      <c r="H75" s="11" t="n">
        <v>3301274.97</v>
      </c>
      <c r="I75" s="12" t="n">
        <v>71.02346438688923</v>
      </c>
      <c r="J75" s="11" t="n">
        <v>-453043.7199999997</v>
      </c>
      <c r="K75" s="12" t="n">
        <v>-3.976535613110769</v>
      </c>
      <c r="L75" s="11" t="n">
        <v>10788866.70666667</v>
      </c>
      <c r="M75" s="11" t="n">
        <v>-604058.293333333</v>
      </c>
      <c r="N75" t="inlineStr">
        <is>
          <t>Near pace</t>
        </is>
      </c>
    </row>
    <row r="76">
      <c r="A76" t="inlineStr">
        <is>
          <t>Financial Services</t>
        </is>
      </c>
      <c r="B76" t="inlineStr">
        <is>
          <t>Waller Creek Reserve Fund</t>
        </is>
      </c>
      <c r="C76" s="11" t="n">
        <v>11197012</v>
      </c>
      <c r="D76" s="11" t="n">
        <v>11098981</v>
      </c>
      <c r="E76" t="n">
        <v>1</v>
      </c>
      <c r="F76" s="12" t="n">
        <v>75</v>
      </c>
      <c r="G76" s="11" t="n">
        <v>8397759</v>
      </c>
      <c r="H76" s="11" t="n">
        <v>98031</v>
      </c>
      <c r="I76" s="12" t="n">
        <v>99.12448964062912</v>
      </c>
      <c r="J76" s="11" t="n">
        <v>2701222</v>
      </c>
      <c r="K76" s="12" t="n">
        <v>24.12448964062912</v>
      </c>
      <c r="L76" s="11" t="n">
        <v>14798641.33333333</v>
      </c>
      <c r="M76" s="11" t="n">
        <v>3601629.333333334</v>
      </c>
      <c r="N76" t="inlineStr">
        <is>
          <t>Above pace</t>
        </is>
      </c>
    </row>
    <row r="77">
      <c r="A77" t="inlineStr">
        <is>
          <t>Austin Water</t>
        </is>
      </c>
      <c r="B77" t="inlineStr">
        <is>
          <t>S-Wastewater Impact Fees</t>
        </is>
      </c>
      <c r="C77" s="11" t="n">
        <v>9990000</v>
      </c>
      <c r="D77" s="11" t="n">
        <v>9990163.619999999</v>
      </c>
      <c r="E77" t="n">
        <v>1</v>
      </c>
      <c r="F77" s="12" t="n">
        <v>75</v>
      </c>
      <c r="G77" s="11" t="n">
        <v>7492500</v>
      </c>
      <c r="H77" s="11" t="n">
        <v>-163.6199999991804</v>
      </c>
      <c r="I77" s="12" t="n">
        <v>100.0016378378378</v>
      </c>
      <c r="J77" s="11" t="n">
        <v>2497663.619999999</v>
      </c>
      <c r="K77" s="12" t="n">
        <v>25.00163783783782</v>
      </c>
      <c r="L77" s="11" t="n">
        <v>13320218.16</v>
      </c>
      <c r="M77" s="11" t="n">
        <v>3330218.159999998</v>
      </c>
      <c r="N77" t="inlineStr">
        <is>
          <t>Above pace</t>
        </is>
      </c>
    </row>
    <row r="78">
      <c r="A78" t="inlineStr">
        <is>
          <t>Economic Development</t>
        </is>
      </c>
      <c r="B78" t="inlineStr">
        <is>
          <t>Economic Incentives Reserve Fund</t>
        </is>
      </c>
      <c r="C78" s="11" t="n">
        <v>9967958</v>
      </c>
      <c r="D78" s="11" t="n">
        <v>5922283.24</v>
      </c>
      <c r="E78" t="n">
        <v>4</v>
      </c>
      <c r="F78" s="12" t="n">
        <v>75</v>
      </c>
      <c r="G78" s="11" t="n">
        <v>7475968.5</v>
      </c>
      <c r="H78" s="11" t="n">
        <v>4045674.76</v>
      </c>
      <c r="I78" s="12" t="n">
        <v>59.41320418886195</v>
      </c>
      <c r="J78" s="11" t="n">
        <v>-1553685.26</v>
      </c>
      <c r="K78" s="12" t="n">
        <v>-15.58679581113805</v>
      </c>
      <c r="L78" s="11" t="n">
        <v>7896377.653333333</v>
      </c>
      <c r="M78" s="11" t="n">
        <v>-2071580.346666667</v>
      </c>
      <c r="N78" t="inlineStr">
        <is>
          <t>Below pace</t>
        </is>
      </c>
    </row>
    <row r="79">
      <c r="A79" t="inlineStr">
        <is>
          <t>Financial Services</t>
        </is>
      </c>
      <c r="B79" t="inlineStr">
        <is>
          <t>GCP-Interest Income Fund</t>
        </is>
      </c>
      <c r="C79" s="11" t="n">
        <v>9340294</v>
      </c>
      <c r="D79" s="11" t="n">
        <v>9340294</v>
      </c>
      <c r="E79" t="n">
        <v>1</v>
      </c>
      <c r="F79" s="12" t="n">
        <v>75</v>
      </c>
      <c r="G79" s="11" t="n">
        <v>7005220.5</v>
      </c>
      <c r="H79" s="11" t="n">
        <v>0</v>
      </c>
      <c r="I79" s="12" t="n">
        <v>100</v>
      </c>
      <c r="J79" s="11" t="n">
        <v>2335073.5</v>
      </c>
      <c r="K79" s="12" t="n">
        <v>25</v>
      </c>
      <c r="L79" s="11" t="n">
        <v>12453725.33333333</v>
      </c>
      <c r="M79" s="11" t="n">
        <v>3113431.333333334</v>
      </c>
      <c r="N79" t="inlineStr">
        <is>
          <t>Above pace</t>
        </is>
      </c>
    </row>
    <row r="80">
      <c r="A80" t="inlineStr">
        <is>
          <t>Office of the City Clerk</t>
        </is>
      </c>
      <c r="B80" t="inlineStr">
        <is>
          <t>Support Services Fund</t>
        </is>
      </c>
      <c r="C80" s="11" t="n">
        <v>7671881</v>
      </c>
      <c r="D80" s="11" t="n">
        <v>5193937</v>
      </c>
      <c r="E80" t="n">
        <v>84</v>
      </c>
      <c r="F80" s="12" t="n">
        <v>75</v>
      </c>
      <c r="G80" s="11" t="n">
        <v>5753910.75</v>
      </c>
      <c r="H80" s="11" t="n">
        <v>2477944</v>
      </c>
      <c r="I80" s="12" t="n">
        <v>67.70095886523788</v>
      </c>
      <c r="J80" s="11" t="n">
        <v>-559973.75</v>
      </c>
      <c r="K80" s="12" t="n">
        <v>-7.29904113476212</v>
      </c>
      <c r="L80" s="11" t="n">
        <v>6925249.333333333</v>
      </c>
      <c r="M80" s="11" t="n">
        <v>-746631.666666667</v>
      </c>
      <c r="N80" t="inlineStr">
        <is>
          <t>Below pace</t>
        </is>
      </c>
    </row>
    <row r="81">
      <c r="A81" t="inlineStr">
        <is>
          <t>Law</t>
        </is>
      </c>
      <c r="B81" t="inlineStr">
        <is>
          <t>Liability Reserve Fund</t>
        </is>
      </c>
      <c r="C81" s="11" t="n">
        <v>7164000</v>
      </c>
      <c r="D81" s="11" t="n">
        <v>3620055.96</v>
      </c>
      <c r="E81" t="n">
        <v>102</v>
      </c>
      <c r="F81" s="12" t="n">
        <v>75</v>
      </c>
      <c r="G81" s="11" t="n">
        <v>5373000</v>
      </c>
      <c r="H81" s="11" t="n">
        <v>3543944.04</v>
      </c>
      <c r="I81" s="12" t="n">
        <v>50.53121105527638</v>
      </c>
      <c r="J81" s="11" t="n">
        <v>-1752944.04</v>
      </c>
      <c r="K81" s="12" t="n">
        <v>-24.46878894472362</v>
      </c>
      <c r="L81" s="11" t="n">
        <v>4826741.28</v>
      </c>
      <c r="M81" s="11" t="n">
        <v>-2337258.72</v>
      </c>
      <c r="N81" t="inlineStr">
        <is>
          <t>Below pace</t>
        </is>
      </c>
    </row>
    <row r="82">
      <c r="A82" t="inlineStr">
        <is>
          <t>Austin Convention Center</t>
        </is>
      </c>
      <c r="B82" t="inlineStr">
        <is>
          <t>Convention Center Expansion</t>
        </is>
      </c>
      <c r="C82" s="11" t="n">
        <v>7000000</v>
      </c>
      <c r="D82" s="11" t="n">
        <v>0</v>
      </c>
      <c r="E82" t="n">
        <v>1</v>
      </c>
      <c r="F82" s="12" t="n">
        <v>75</v>
      </c>
      <c r="G82" s="11" t="n">
        <v>5250000</v>
      </c>
      <c r="H82" s="11" t="n">
        <v>7000000</v>
      </c>
      <c r="I82" s="12" t="n">
        <v>0</v>
      </c>
      <c r="J82" s="11" t="n">
        <v>-5250000</v>
      </c>
      <c r="K82" s="12" t="n">
        <v>-75</v>
      </c>
      <c r="L82" s="11" t="n">
        <v>0</v>
      </c>
      <c r="M82" s="11" t="n">
        <v>-7000000</v>
      </c>
      <c r="N82" t="inlineStr">
        <is>
          <t>Below pace</t>
        </is>
      </c>
    </row>
    <row r="83">
      <c r="A83" t="inlineStr">
        <is>
          <t>Management Services</t>
        </is>
      </c>
      <c r="B83" t="inlineStr">
        <is>
          <t>Urban Forest Replenishment Fund</t>
        </is>
      </c>
      <c r="C83" s="11" t="n">
        <v>6877950</v>
      </c>
      <c r="D83" s="11" t="n">
        <v>4123169.42</v>
      </c>
      <c r="E83" t="n">
        <v>12</v>
      </c>
      <c r="F83" s="12" t="n">
        <v>75</v>
      </c>
      <c r="G83" s="11" t="n">
        <v>5158462.5</v>
      </c>
      <c r="H83" s="11" t="n">
        <v>2754780.58</v>
      </c>
      <c r="I83" s="12" t="n">
        <v>59.94765039001447</v>
      </c>
      <c r="J83" s="11" t="n">
        <v>-1035293.08</v>
      </c>
      <c r="K83" s="12" t="n">
        <v>-15.05234960998553</v>
      </c>
      <c r="L83" s="11" t="n">
        <v>5497559.226666667</v>
      </c>
      <c r="M83" s="11" t="n">
        <v>-1380390.773333333</v>
      </c>
      <c r="N83" t="inlineStr">
        <is>
          <t>Below pace</t>
        </is>
      </c>
    </row>
    <row r="84">
      <c r="A84" t="inlineStr">
        <is>
          <t>Austin Convention Center</t>
        </is>
      </c>
      <c r="B84" t="inlineStr">
        <is>
          <t>Convention Center Palmer Events Center Revenue Fund</t>
        </is>
      </c>
      <c r="C84" s="11" t="n">
        <v>6208371</v>
      </c>
      <c r="D84" s="11" t="n">
        <v>5645956.380000001</v>
      </c>
      <c r="E84" t="n">
        <v>3</v>
      </c>
      <c r="F84" s="12" t="n">
        <v>75</v>
      </c>
      <c r="G84" s="11" t="n">
        <v>4656278.25</v>
      </c>
      <c r="H84" s="11" t="n">
        <v>562414.6199999992</v>
      </c>
      <c r="I84" s="12" t="n">
        <v>90.94102752557798</v>
      </c>
      <c r="J84" s="11" t="n">
        <v>989678.1300000008</v>
      </c>
      <c r="K84" s="12" t="n">
        <v>15.94102752557798</v>
      </c>
      <c r="L84" s="11" t="n">
        <v>7527941.840000001</v>
      </c>
      <c r="M84" s="11" t="n">
        <v>1319570.840000001</v>
      </c>
      <c r="N84" t="inlineStr">
        <is>
          <t>Above pace</t>
        </is>
      </c>
    </row>
    <row r="85">
      <c r="A85" t="inlineStr">
        <is>
          <t>Small and Minority Business Resources</t>
        </is>
      </c>
      <c r="B85" t="inlineStr">
        <is>
          <t>Support Services Fund</t>
        </is>
      </c>
      <c r="C85" s="11" t="n">
        <v>6157511</v>
      </c>
      <c r="D85" s="11" t="n">
        <v>4615686.41</v>
      </c>
      <c r="E85" t="n">
        <v>155</v>
      </c>
      <c r="F85" s="12" t="n">
        <v>75</v>
      </c>
      <c r="G85" s="11" t="n">
        <v>4618133.25</v>
      </c>
      <c r="H85" s="11" t="n">
        <v>1541824.59</v>
      </c>
      <c r="I85" s="12" t="n">
        <v>74.96026251516237</v>
      </c>
      <c r="J85" s="11" t="n">
        <v>-2446.839999999851</v>
      </c>
      <c r="K85" s="12" t="n">
        <v>-0.0397374848376301</v>
      </c>
      <c r="L85" s="11" t="n">
        <v>6154248.546666667</v>
      </c>
      <c r="M85" s="11" t="n">
        <v>-3262.453333333135</v>
      </c>
      <c r="N85" t="inlineStr">
        <is>
          <t>Near pace</t>
        </is>
      </c>
    </row>
    <row r="86">
      <c r="A86" t="inlineStr">
        <is>
          <t>Office of Arts, Culture, Music and Entertainment</t>
        </is>
      </c>
      <c r="B86" t="inlineStr">
        <is>
          <t>Live Music Fund</t>
        </is>
      </c>
      <c r="C86" s="11" t="n">
        <v>5575000</v>
      </c>
      <c r="D86" s="11" t="n">
        <v>981616.08</v>
      </c>
      <c r="E86" t="n">
        <v>3</v>
      </c>
      <c r="F86" s="12" t="n">
        <v>75</v>
      </c>
      <c r="G86" s="11" t="n">
        <v>4181250</v>
      </c>
      <c r="H86" s="11" t="n">
        <v>4593383.92</v>
      </c>
      <c r="I86" s="12" t="n">
        <v>17.60746331838565</v>
      </c>
      <c r="J86" s="11" t="n">
        <v>-3199633.92</v>
      </c>
      <c r="K86" s="12" t="n">
        <v>-57.39253668161435</v>
      </c>
      <c r="L86" s="11" t="n">
        <v>1308821.44</v>
      </c>
      <c r="M86" s="11" t="n">
        <v>-4266178.560000001</v>
      </c>
      <c r="N86" t="inlineStr">
        <is>
          <t>Below pace</t>
        </is>
      </c>
    </row>
    <row r="87">
      <c r="A87" t="inlineStr">
        <is>
          <t>Office of the City Auditor</t>
        </is>
      </c>
      <c r="B87" t="inlineStr">
        <is>
          <t>Support Services Fund</t>
        </is>
      </c>
      <c r="C87" s="11" t="n">
        <v>5548299</v>
      </c>
      <c r="D87" s="11" t="n">
        <v>3883716.52</v>
      </c>
      <c r="E87" t="n">
        <v>102</v>
      </c>
      <c r="F87" s="12" t="n">
        <v>75</v>
      </c>
      <c r="G87" s="11" t="n">
        <v>4161224.25</v>
      </c>
      <c r="H87" s="11" t="n">
        <v>1664582.48</v>
      </c>
      <c r="I87" s="12" t="n">
        <v>69.99832777577416</v>
      </c>
      <c r="J87" s="11" t="n">
        <v>-277507.73</v>
      </c>
      <c r="K87" s="12" t="n">
        <v>-5.001672224225842</v>
      </c>
      <c r="L87" s="11" t="n">
        <v>5178288.693333333</v>
      </c>
      <c r="M87" s="11" t="n">
        <v>-370010.3066666666</v>
      </c>
      <c r="N87" t="inlineStr">
        <is>
          <t>Below pace</t>
        </is>
      </c>
    </row>
    <row r="88">
      <c r="A88" t="inlineStr">
        <is>
          <t>Nondepartmental</t>
        </is>
      </c>
      <c r="B88" t="inlineStr">
        <is>
          <t>Support Services Fund</t>
        </is>
      </c>
      <c r="C88" s="11" t="n">
        <v>5313132</v>
      </c>
      <c r="D88" s="11" t="n">
        <v>4670147</v>
      </c>
      <c r="E88" t="n">
        <v>4</v>
      </c>
      <c r="F88" s="12" t="n">
        <v>75</v>
      </c>
      <c r="G88" s="11" t="n">
        <v>3984849</v>
      </c>
      <c r="H88" s="11" t="n">
        <v>642985</v>
      </c>
      <c r="I88" s="12" t="n">
        <v>87.89819262913099</v>
      </c>
      <c r="J88" s="11" t="n">
        <v>685298</v>
      </c>
      <c r="K88" s="12" t="n">
        <v>12.89819262913099</v>
      </c>
      <c r="L88" s="11" t="n">
        <v>6226862.666666667</v>
      </c>
      <c r="M88" s="11" t="n">
        <v>913730.666666667</v>
      </c>
      <c r="N88" t="inlineStr">
        <is>
          <t>Above pace</t>
        </is>
      </c>
    </row>
    <row r="89">
      <c r="A89" t="inlineStr">
        <is>
          <t>Financial Services</t>
        </is>
      </c>
      <c r="B89" t="inlineStr">
        <is>
          <t>Mueller Local Government Corp</t>
        </is>
      </c>
      <c r="C89" s="11" t="n">
        <v>5260966</v>
      </c>
      <c r="D89" s="11" t="n">
        <v>460643.63</v>
      </c>
      <c r="E89" t="n">
        <v>3</v>
      </c>
      <c r="F89" s="12" t="n">
        <v>75</v>
      </c>
      <c r="G89" s="11" t="n">
        <v>3945724.5</v>
      </c>
      <c r="H89" s="11" t="n">
        <v>4800322.37</v>
      </c>
      <c r="I89" s="12" t="n">
        <v>8.755875441886529</v>
      </c>
      <c r="J89" s="11" t="n">
        <v>-3485080.87</v>
      </c>
      <c r="K89" s="12" t="n">
        <v>-66.24412455811347</v>
      </c>
      <c r="L89" s="11" t="n">
        <v>614191.5066666667</v>
      </c>
      <c r="M89" s="11" t="n">
        <v>-4646774.493333333</v>
      </c>
      <c r="N89" t="inlineStr">
        <is>
          <t>Below pace</t>
        </is>
      </c>
    </row>
    <row r="90">
      <c r="A90" t="inlineStr">
        <is>
          <t>Homeless Strategy Office</t>
        </is>
      </c>
      <c r="B90" t="inlineStr">
        <is>
          <t>Neighborhood Housing-Housing Trust Fund</t>
        </is>
      </c>
      <c r="C90" s="11" t="n">
        <v>5057474</v>
      </c>
      <c r="D90" s="11" t="n">
        <v>4279941.359999999</v>
      </c>
      <c r="E90" t="n">
        <v>5</v>
      </c>
      <c r="F90" s="12" t="n">
        <v>75</v>
      </c>
      <c r="G90" s="11" t="n">
        <v>3793105.5</v>
      </c>
      <c r="H90" s="11" t="n">
        <v>777532.6400000006</v>
      </c>
      <c r="I90" s="12" t="n">
        <v>84.62606747953622</v>
      </c>
      <c r="J90" s="11" t="n">
        <v>486835.8599999994</v>
      </c>
      <c r="K90" s="12" t="n">
        <v>9.626067479536218</v>
      </c>
      <c r="L90" s="11" t="n">
        <v>5706588.48</v>
      </c>
      <c r="M90" s="11" t="n">
        <v>649114.4799999995</v>
      </c>
      <c r="N90" t="inlineStr">
        <is>
          <t>Above pace</t>
        </is>
      </c>
    </row>
    <row r="91">
      <c r="A91" t="inlineStr">
        <is>
          <t>Building Services</t>
        </is>
      </c>
      <c r="B91" t="inlineStr">
        <is>
          <t>Public Safety HQ Fund</t>
        </is>
      </c>
      <c r="C91" s="11" t="n">
        <v>5000000</v>
      </c>
      <c r="D91" s="11" t="n">
        <v>2209414.57</v>
      </c>
      <c r="E91" t="n">
        <v>30</v>
      </c>
      <c r="F91" s="12" t="n">
        <v>75</v>
      </c>
      <c r="G91" s="11" t="n">
        <v>3750000</v>
      </c>
      <c r="H91" s="11" t="n">
        <v>2790585.43</v>
      </c>
      <c r="I91" s="12" t="n">
        <v>44.1882914</v>
      </c>
      <c r="J91" s="11" t="n">
        <v>-1540585.43</v>
      </c>
      <c r="K91" s="12" t="n">
        <v>-30.8117086</v>
      </c>
      <c r="L91" s="11" t="n">
        <v>2945886.093333333</v>
      </c>
      <c r="M91" s="11" t="n">
        <v>-2054113.906666667</v>
      </c>
      <c r="N91" t="inlineStr">
        <is>
          <t>Below pace</t>
        </is>
      </c>
    </row>
    <row r="92">
      <c r="A92" t="inlineStr">
        <is>
          <t>Neighborhood Housing &amp; Community Development</t>
        </is>
      </c>
      <c r="B92" t="inlineStr">
        <is>
          <t>Neighborhood Housing University Neighborhood Overlay Fund</t>
        </is>
      </c>
      <c r="C92" s="11" t="n">
        <v>4956769</v>
      </c>
      <c r="D92" s="11" t="n">
        <v>0</v>
      </c>
      <c r="E92" t="n">
        <v>2</v>
      </c>
      <c r="F92" s="12" t="n">
        <v>75</v>
      </c>
      <c r="G92" s="11" t="n">
        <v>3717576.75</v>
      </c>
      <c r="H92" s="11" t="n">
        <v>4956769</v>
      </c>
      <c r="I92" s="12" t="n">
        <v>0</v>
      </c>
      <c r="J92" s="11" t="n">
        <v>-3717576.75</v>
      </c>
      <c r="K92" s="12" t="n">
        <v>-75</v>
      </c>
      <c r="L92" s="11" t="n">
        <v>0</v>
      </c>
      <c r="M92" s="11" t="n">
        <v>-4956769</v>
      </c>
      <c r="N92" t="inlineStr">
        <is>
          <t>Below pace</t>
        </is>
      </c>
    </row>
    <row r="93">
      <c r="A93" t="inlineStr">
        <is>
          <t>Enterprise Debt Service</t>
        </is>
      </c>
      <c r="B93" t="inlineStr">
        <is>
          <t>Convention Center Waller Creek Venue Debt Service Fund</t>
        </is>
      </c>
      <c r="C93" s="11" t="n">
        <v>4916175</v>
      </c>
      <c r="D93" s="11" t="n">
        <v>1751175</v>
      </c>
      <c r="E93" t="n">
        <v>4</v>
      </c>
      <c r="F93" s="12" t="n">
        <v>75</v>
      </c>
      <c r="G93" s="11" t="n">
        <v>3687131.25</v>
      </c>
      <c r="H93" s="11" t="n">
        <v>3165000</v>
      </c>
      <c r="I93" s="12" t="n">
        <v>35.62068071213901</v>
      </c>
      <c r="J93" s="11" t="n">
        <v>-1935956.25</v>
      </c>
      <c r="K93" s="12" t="n">
        <v>-39.37931928786099</v>
      </c>
      <c r="L93" s="11" t="n">
        <v>2334900</v>
      </c>
      <c r="M93" s="11" t="n">
        <v>-2581275</v>
      </c>
      <c r="N93" t="inlineStr">
        <is>
          <t>Below pace</t>
        </is>
      </c>
    </row>
    <row r="94">
      <c r="A94" t="inlineStr">
        <is>
          <t>Homeless Strategy Office</t>
        </is>
      </c>
      <c r="B94" t="inlineStr">
        <is>
          <t>Pay for Success Reserve Fund</t>
        </is>
      </c>
      <c r="C94" s="11" t="n">
        <v>4760739</v>
      </c>
      <c r="D94" s="11" t="n">
        <v>0</v>
      </c>
      <c r="E94" t="n">
        <v>1</v>
      </c>
      <c r="F94" s="12" t="n">
        <v>75</v>
      </c>
      <c r="G94" s="11" t="n">
        <v>3570554.25</v>
      </c>
      <c r="H94" s="11" t="n">
        <v>4760739</v>
      </c>
      <c r="I94" s="12" t="n">
        <v>0</v>
      </c>
      <c r="J94" s="11" t="n">
        <v>-3570554.25</v>
      </c>
      <c r="K94" s="12" t="n">
        <v>-75</v>
      </c>
      <c r="L94" s="11" t="n">
        <v>0</v>
      </c>
      <c r="M94" s="11" t="n">
        <v>-4760739</v>
      </c>
      <c r="N94" t="inlineStr">
        <is>
          <t>Below pace</t>
        </is>
      </c>
    </row>
    <row r="95">
      <c r="A95" t="inlineStr">
        <is>
          <t>Building Services</t>
        </is>
      </c>
      <c r="B95" t="inlineStr">
        <is>
          <t>City Hall Fund</t>
        </is>
      </c>
      <c r="C95" s="11" t="n">
        <v>4747470</v>
      </c>
      <c r="D95" s="11" t="n">
        <v>4238611.350000001</v>
      </c>
      <c r="E95" t="n">
        <v>65</v>
      </c>
      <c r="F95" s="12" t="n">
        <v>75</v>
      </c>
      <c r="G95" s="11" t="n">
        <v>3560602.5</v>
      </c>
      <c r="H95" s="11" t="n">
        <v>508858.6499999994</v>
      </c>
      <c r="I95" s="12" t="n">
        <v>89.2814772921156</v>
      </c>
      <c r="J95" s="11" t="n">
        <v>678008.8500000006</v>
      </c>
      <c r="K95" s="12" t="n">
        <v>14.2814772921156</v>
      </c>
      <c r="L95" s="11" t="n">
        <v>5651481.800000001</v>
      </c>
      <c r="M95" s="11" t="n">
        <v>904011.8000000007</v>
      </c>
      <c r="N95" t="inlineStr">
        <is>
          <t>Above pace</t>
        </is>
      </c>
    </row>
    <row r="96">
      <c r="A96" t="inlineStr">
        <is>
          <t>Watershed Protection</t>
        </is>
      </c>
      <c r="B96" t="inlineStr">
        <is>
          <t>Regional Stm Wtr Programs</t>
        </is>
      </c>
      <c r="C96" s="11" t="n">
        <v>4661667</v>
      </c>
      <c r="D96" s="11" t="n">
        <v>3496250.25</v>
      </c>
      <c r="E96" t="n">
        <v>1</v>
      </c>
      <c r="F96" s="12" t="n">
        <v>75</v>
      </c>
      <c r="G96" s="11" t="n">
        <v>3496250.25</v>
      </c>
      <c r="H96" s="11" t="n">
        <v>1165416.75</v>
      </c>
      <c r="I96" s="12" t="n">
        <v>75</v>
      </c>
      <c r="J96" s="11" t="n">
        <v>0</v>
      </c>
      <c r="K96" s="12" t="n">
        <v>0</v>
      </c>
      <c r="L96" s="11" t="n">
        <v>4661667</v>
      </c>
      <c r="M96" s="11" t="n">
        <v>0</v>
      </c>
      <c r="N96" t="inlineStr">
        <is>
          <t>Near pace</t>
        </is>
      </c>
    </row>
    <row r="97">
      <c r="A97" t="inlineStr">
        <is>
          <t>Austin Convention Center</t>
        </is>
      </c>
      <c r="B97" t="inlineStr">
        <is>
          <t>Convention Center Palmer Events Center Garage Fund</t>
        </is>
      </c>
      <c r="C97" s="11" t="n">
        <v>4527392</v>
      </c>
      <c r="D97" s="11" t="n">
        <v>3483859.45</v>
      </c>
      <c r="E97" t="n">
        <v>76</v>
      </c>
      <c r="F97" s="12" t="n">
        <v>75</v>
      </c>
      <c r="G97" s="11" t="n">
        <v>3395544</v>
      </c>
      <c r="H97" s="11" t="n">
        <v>1043532.55</v>
      </c>
      <c r="I97" s="12" t="n">
        <v>76.95069147977468</v>
      </c>
      <c r="J97" s="11" t="n">
        <v>88315.45000000019</v>
      </c>
      <c r="K97" s="12" t="n">
        <v>1.950691479774676</v>
      </c>
      <c r="L97" s="11" t="n">
        <v>4645145.933333334</v>
      </c>
      <c r="M97" s="11" t="n">
        <v>117753.9333333336</v>
      </c>
      <c r="N97" t="inlineStr">
        <is>
          <t>Near pace</t>
        </is>
      </c>
    </row>
    <row r="98">
      <c r="A98" t="inlineStr">
        <is>
          <t>Financial Services</t>
        </is>
      </c>
      <c r="B98" t="inlineStr">
        <is>
          <t>Whisper Valley Public Improvement District Fund</t>
        </is>
      </c>
      <c r="C98" s="11" t="n">
        <v>4194994</v>
      </c>
      <c r="D98" s="11" t="n">
        <v>1751161.88</v>
      </c>
      <c r="E98" t="n">
        <v>5</v>
      </c>
      <c r="F98" s="12" t="n">
        <v>75</v>
      </c>
      <c r="G98" s="11" t="n">
        <v>3146245.5</v>
      </c>
      <c r="H98" s="11" t="n">
        <v>2443832.12</v>
      </c>
      <c r="I98" s="12" t="n">
        <v>41.74408545042019</v>
      </c>
      <c r="J98" s="11" t="n">
        <v>-1395083.62</v>
      </c>
      <c r="K98" s="12" t="n">
        <v>-33.25591454957981</v>
      </c>
      <c r="L98" s="11" t="n">
        <v>2334882.506666666</v>
      </c>
      <c r="M98" s="11" t="n">
        <v>-1860111.493333334</v>
      </c>
      <c r="N98" t="inlineStr">
        <is>
          <t>Below pace</t>
        </is>
      </c>
    </row>
    <row r="99">
      <c r="A99" t="inlineStr">
        <is>
          <t>Public Works</t>
        </is>
      </c>
      <c r="B99" t="inlineStr">
        <is>
          <t>Child Safety Fund</t>
        </is>
      </c>
      <c r="C99" s="11" t="n">
        <v>4084185</v>
      </c>
      <c r="D99" s="11" t="n">
        <v>3467611.66</v>
      </c>
      <c r="E99" t="n">
        <v>118</v>
      </c>
      <c r="F99" s="12" t="n">
        <v>75</v>
      </c>
      <c r="G99" s="11" t="n">
        <v>3063138.75</v>
      </c>
      <c r="H99" s="11" t="n">
        <v>616573.3400000003</v>
      </c>
      <c r="I99" s="12" t="n">
        <v>84.90339345548743</v>
      </c>
      <c r="J99" s="11" t="n">
        <v>404472.9099999997</v>
      </c>
      <c r="K99" s="12" t="n">
        <v>9.903393455487432</v>
      </c>
      <c r="L99" s="11" t="n">
        <v>4623482.213333333</v>
      </c>
      <c r="M99" s="11" t="n">
        <v>539297.2133333329</v>
      </c>
      <c r="N99" t="inlineStr">
        <is>
          <t>Above pace</t>
        </is>
      </c>
    </row>
    <row r="100">
      <c r="A100" t="inlineStr">
        <is>
          <t>Economic Development</t>
        </is>
      </c>
      <c r="B100" t="inlineStr">
        <is>
          <t>General Fund</t>
        </is>
      </c>
      <c r="C100" s="11" t="n">
        <v>4066735</v>
      </c>
      <c r="D100" s="11" t="n">
        <v>2919386.79</v>
      </c>
      <c r="E100" t="n">
        <v>4</v>
      </c>
      <c r="F100" s="12" t="n">
        <v>75</v>
      </c>
      <c r="G100" s="11" t="n">
        <v>3050051.25</v>
      </c>
      <c r="H100" s="11" t="n">
        <v>1147348.21</v>
      </c>
      <c r="I100" s="12" t="n">
        <v>71.78699349724042</v>
      </c>
      <c r="J100" s="11" t="n">
        <v>-130664.46</v>
      </c>
      <c r="K100" s="12" t="n">
        <v>-3.213006502759584</v>
      </c>
      <c r="L100" s="11" t="n">
        <v>3892515.72</v>
      </c>
      <c r="M100" s="11" t="n">
        <v>-174219.2799999998</v>
      </c>
      <c r="N100" t="inlineStr">
        <is>
          <t>Near pace</t>
        </is>
      </c>
    </row>
    <row r="101">
      <c r="A101" t="inlineStr">
        <is>
          <t>Austin Public Health</t>
        </is>
      </c>
      <c r="B101" t="inlineStr">
        <is>
          <t>1115 Medicaid Waiver</t>
        </is>
      </c>
      <c r="C101" s="11" t="n">
        <v>3833943.68</v>
      </c>
      <c r="D101" s="11" t="n">
        <v>376129.29</v>
      </c>
      <c r="E101" t="n">
        <v>80</v>
      </c>
      <c r="F101" s="12" t="n">
        <v>75</v>
      </c>
      <c r="G101" s="11" t="n">
        <v>2875457.76</v>
      </c>
      <c r="H101" s="11" t="n">
        <v>3457814.39</v>
      </c>
      <c r="I101" s="12" t="n">
        <v>9.810506397423136</v>
      </c>
      <c r="J101" s="11" t="n">
        <v>-2499328.47</v>
      </c>
      <c r="K101" s="12" t="n">
        <v>-65.18949360257686</v>
      </c>
      <c r="L101" s="11" t="n">
        <v>501505.72</v>
      </c>
      <c r="M101" s="11" t="n">
        <v>-3332437.96</v>
      </c>
      <c r="N101" t="inlineStr">
        <is>
          <t>Below pace</t>
        </is>
      </c>
    </row>
    <row r="102">
      <c r="A102" t="inlineStr">
        <is>
          <t>Public Works</t>
        </is>
      </c>
      <c r="B102" t="inlineStr">
        <is>
          <t>Project Connect - Office Fund</t>
        </is>
      </c>
      <c r="C102" s="11" t="n">
        <v>3556067</v>
      </c>
      <c r="D102" s="11" t="n">
        <v>2120263.98</v>
      </c>
      <c r="E102" t="n">
        <v>47</v>
      </c>
      <c r="F102" s="12" t="n">
        <v>75</v>
      </c>
      <c r="G102" s="11" t="n">
        <v>2667050.25</v>
      </c>
      <c r="H102" s="11" t="n">
        <v>1435803.02</v>
      </c>
      <c r="I102" s="12" t="n">
        <v>59.62384791962581</v>
      </c>
      <c r="J102" s="11" t="n">
        <v>-546786.27</v>
      </c>
      <c r="K102" s="12" t="n">
        <v>-15.37615208037419</v>
      </c>
      <c r="L102" s="11" t="n">
        <v>2827018.64</v>
      </c>
      <c r="M102" s="11" t="n">
        <v>-729048.3599999999</v>
      </c>
      <c r="N102" t="inlineStr">
        <is>
          <t>Below pace</t>
        </is>
      </c>
    </row>
    <row r="103">
      <c r="A103" t="inlineStr">
        <is>
          <t>Austin Water</t>
        </is>
      </c>
      <c r="B103" t="inlineStr">
        <is>
          <t>S-Wastewater Improvements</t>
        </is>
      </c>
      <c r="C103" s="11" t="n">
        <v>3554667</v>
      </c>
      <c r="D103" s="11" t="n">
        <v>2962221</v>
      </c>
      <c r="E103" t="n">
        <v>1</v>
      </c>
      <c r="F103" s="12" t="n">
        <v>75</v>
      </c>
      <c r="G103" s="11" t="n">
        <v>2666000.25</v>
      </c>
      <c r="H103" s="11" t="n">
        <v>592446</v>
      </c>
      <c r="I103" s="12" t="n">
        <v>83.33329113528778</v>
      </c>
      <c r="J103" s="11" t="n">
        <v>296220.75</v>
      </c>
      <c r="K103" s="12" t="n">
        <v>8.33329113528778</v>
      </c>
      <c r="L103" s="11" t="n">
        <v>3949628</v>
      </c>
      <c r="M103" s="11" t="n">
        <v>394961</v>
      </c>
      <c r="N103" t="inlineStr">
        <is>
          <t>Above pace</t>
        </is>
      </c>
    </row>
    <row r="104">
      <c r="A104" t="inlineStr">
        <is>
          <t>Austin Public Library</t>
        </is>
      </c>
      <c r="B104" t="inlineStr">
        <is>
          <t>Library Facilities Maintenance and Improvements</t>
        </is>
      </c>
      <c r="C104" s="11" t="n">
        <v>2947275</v>
      </c>
      <c r="D104" s="11" t="n">
        <v>329012.78</v>
      </c>
      <c r="E104" t="n">
        <v>24</v>
      </c>
      <c r="F104" s="12" t="n">
        <v>75</v>
      </c>
      <c r="G104" s="11" t="n">
        <v>2210456.25</v>
      </c>
      <c r="H104" s="11" t="n">
        <v>2618262.22</v>
      </c>
      <c r="I104" s="12" t="n">
        <v>11.16328744348593</v>
      </c>
      <c r="J104" s="11" t="n">
        <v>-1881443.47</v>
      </c>
      <c r="K104" s="12" t="n">
        <v>-63.83671255651407</v>
      </c>
      <c r="L104" s="11" t="n">
        <v>438683.7066666666</v>
      </c>
      <c r="M104" s="11" t="n">
        <v>-2508591.293333333</v>
      </c>
      <c r="N104" t="inlineStr">
        <is>
          <t>Below pace</t>
        </is>
      </c>
    </row>
    <row r="105">
      <c r="A105" t="inlineStr">
        <is>
          <t>Office of Arts, Culture, Music and Entertainment</t>
        </is>
      </c>
      <c r="B105" t="inlineStr">
        <is>
          <t>Economic Development Fund</t>
        </is>
      </c>
      <c r="C105" s="11" t="n">
        <v>2946429</v>
      </c>
      <c r="D105" s="11" t="n">
        <v>1610696.82</v>
      </c>
      <c r="E105" t="n">
        <v>144</v>
      </c>
      <c r="F105" s="12" t="n">
        <v>75</v>
      </c>
      <c r="G105" s="11" t="n">
        <v>2209821.75</v>
      </c>
      <c r="H105" s="11" t="n">
        <v>1335732.18</v>
      </c>
      <c r="I105" s="12" t="n">
        <v>54.66606593948131</v>
      </c>
      <c r="J105" s="11" t="n">
        <v>-599124.9300000002</v>
      </c>
      <c r="K105" s="12" t="n">
        <v>-20.33393406051869</v>
      </c>
      <c r="L105" s="11" t="n">
        <v>2147595.76</v>
      </c>
      <c r="M105" s="11" t="n">
        <v>-798833.2400000002</v>
      </c>
      <c r="N105" t="inlineStr">
        <is>
          <t>Below pace</t>
        </is>
      </c>
    </row>
    <row r="106">
      <c r="A106" t="inlineStr">
        <is>
          <t>Office of Arts, Culture, Music and Entertainment</t>
        </is>
      </c>
      <c r="B106" t="inlineStr">
        <is>
          <t>Iconic Venue Fund</t>
        </is>
      </c>
      <c r="C106" s="11" t="n">
        <v>2900000</v>
      </c>
      <c r="D106" s="11" t="n">
        <v>2900000</v>
      </c>
      <c r="E106" t="n">
        <v>2</v>
      </c>
      <c r="F106" s="12" t="n">
        <v>75</v>
      </c>
      <c r="G106" s="11" t="n">
        <v>2175000</v>
      </c>
      <c r="H106" s="11" t="n">
        <v>0</v>
      </c>
      <c r="I106" s="12" t="n">
        <v>100</v>
      </c>
      <c r="J106" s="11" t="n">
        <v>725000</v>
      </c>
      <c r="K106" s="12" t="n">
        <v>25</v>
      </c>
      <c r="L106" s="11" t="n">
        <v>3866666.666666667</v>
      </c>
      <c r="M106" s="11" t="n">
        <v>966666.6666666664</v>
      </c>
      <c r="N106" t="inlineStr">
        <is>
          <t>Above pace</t>
        </is>
      </c>
    </row>
    <row r="107">
      <c r="A107" t="inlineStr">
        <is>
          <t>Austin Energy</t>
        </is>
      </c>
      <c r="B107" t="inlineStr">
        <is>
          <t>Vol. Utility Assistance Fund</t>
        </is>
      </c>
      <c r="C107" s="11" t="n">
        <v>2700000</v>
      </c>
      <c r="D107" s="11" t="n">
        <v>2161244.54</v>
      </c>
      <c r="E107" t="n">
        <v>1</v>
      </c>
      <c r="F107" s="12" t="n">
        <v>75</v>
      </c>
      <c r="G107" s="11" t="n">
        <v>2025000</v>
      </c>
      <c r="H107" s="11" t="n">
        <v>538755.46</v>
      </c>
      <c r="I107" s="12" t="n">
        <v>80.04609407407408</v>
      </c>
      <c r="J107" s="11" t="n">
        <v>136244.54</v>
      </c>
      <c r="K107" s="12" t="n">
        <v>5.046094074074077</v>
      </c>
      <c r="L107" s="11" t="n">
        <v>2881659.386666667</v>
      </c>
      <c r="M107" s="11" t="n">
        <v>181659.3866666667</v>
      </c>
      <c r="N107" t="inlineStr">
        <is>
          <t>Above pace</t>
        </is>
      </c>
    </row>
    <row r="108">
      <c r="A108" t="inlineStr">
        <is>
          <t>Building Services</t>
        </is>
      </c>
      <c r="B108" t="inlineStr">
        <is>
          <t>Grove Boulevard Campus Facility Fund</t>
        </is>
      </c>
      <c r="C108" s="11" t="n">
        <v>2644112</v>
      </c>
      <c r="D108" s="11" t="n">
        <v>1291470.01</v>
      </c>
      <c r="E108" t="n">
        <v>2</v>
      </c>
      <c r="F108" s="12" t="n">
        <v>75</v>
      </c>
      <c r="G108" s="11" t="n">
        <v>1983084</v>
      </c>
      <c r="H108" s="11" t="n">
        <v>1352641.99</v>
      </c>
      <c r="I108" s="12" t="n">
        <v>48.84324151170601</v>
      </c>
      <c r="J108" s="11" t="n">
        <v>-691613.99</v>
      </c>
      <c r="K108" s="12" t="n">
        <v>-26.15675848829399</v>
      </c>
      <c r="L108" s="11" t="n">
        <v>1721960.013333333</v>
      </c>
      <c r="M108" s="11" t="n">
        <v>-922151.9866666666</v>
      </c>
      <c r="N108" t="inlineStr">
        <is>
          <t>Below pace</t>
        </is>
      </c>
    </row>
    <row r="109">
      <c r="A109" t="inlineStr">
        <is>
          <t>Enterprise Debt Service</t>
        </is>
      </c>
      <c r="B109" t="inlineStr">
        <is>
          <t>Conv Ctr Town Lake Park Venue Project Bond Redemption Fund</t>
        </is>
      </c>
      <c r="C109" s="11" t="n">
        <v>2517453</v>
      </c>
      <c r="D109" s="11" t="n">
        <v>2517453.12</v>
      </c>
      <c r="E109" t="n">
        <v>2</v>
      </c>
      <c r="F109" s="12" t="n">
        <v>75</v>
      </c>
      <c r="G109" s="11" t="n">
        <v>1888089.75</v>
      </c>
      <c r="H109" s="11" t="n">
        <v>-0.1200000001117587</v>
      </c>
      <c r="I109" s="12" t="n">
        <v>100.0000047667226</v>
      </c>
      <c r="J109" s="11" t="n">
        <v>629363.3700000001</v>
      </c>
      <c r="K109" s="12" t="n">
        <v>25.00000476672255</v>
      </c>
      <c r="L109" s="11" t="n">
        <v>3356604.16</v>
      </c>
      <c r="M109" s="11" t="n">
        <v>839151.1600000001</v>
      </c>
      <c r="N109" t="inlineStr">
        <is>
          <t>Above pace</t>
        </is>
      </c>
    </row>
    <row r="110">
      <c r="A110" t="inlineStr">
        <is>
          <t>Financial Services</t>
        </is>
      </c>
      <c r="B110" t="inlineStr">
        <is>
          <t>Estancia Hill Country Public Improvement District Fund</t>
        </is>
      </c>
      <c r="C110" s="11" t="n">
        <v>2511871</v>
      </c>
      <c r="D110" s="11" t="n">
        <v>2645523.52</v>
      </c>
      <c r="E110" t="n">
        <v>5</v>
      </c>
      <c r="F110" s="12" t="n">
        <v>75</v>
      </c>
      <c r="G110" s="11" t="n">
        <v>1883903.25</v>
      </c>
      <c r="H110" s="11" t="n">
        <v>-133652.52</v>
      </c>
      <c r="I110" s="12" t="n">
        <v>105.3208353454457</v>
      </c>
      <c r="J110" s="11" t="n">
        <v>761620.27</v>
      </c>
      <c r="K110" s="12" t="n">
        <v>30.32083534544569</v>
      </c>
      <c r="L110" s="11" t="n">
        <v>3527364.693333333</v>
      </c>
      <c r="M110" s="11" t="n">
        <v>1015493.693333333</v>
      </c>
      <c r="N110" t="inlineStr">
        <is>
          <t>Above pace</t>
        </is>
      </c>
    </row>
    <row r="111">
      <c r="A111" t="inlineStr">
        <is>
          <t>Financial Services</t>
        </is>
      </c>
      <c r="B111" t="inlineStr">
        <is>
          <t>Austin Cable Access Fund</t>
        </is>
      </c>
      <c r="C111" s="11" t="n">
        <v>2047500</v>
      </c>
      <c r="D111" s="11" t="n">
        <v>1378858.19</v>
      </c>
      <c r="E111" t="n">
        <v>9</v>
      </c>
      <c r="F111" s="12" t="n">
        <v>75</v>
      </c>
      <c r="G111" s="11" t="n">
        <v>1535625</v>
      </c>
      <c r="H111" s="11" t="n">
        <v>668641.8100000001</v>
      </c>
      <c r="I111" s="12" t="n">
        <v>67.34350134310134</v>
      </c>
      <c r="J111" s="11" t="n">
        <v>-156766.8100000001</v>
      </c>
      <c r="K111" s="12" t="n">
        <v>-7.656498656898663</v>
      </c>
      <c r="L111" s="11" t="n">
        <v>1838477.586666667</v>
      </c>
      <c r="M111" s="11" t="n">
        <v>-209022.4133333333</v>
      </c>
      <c r="N111" t="inlineStr">
        <is>
          <t>Below pace</t>
        </is>
      </c>
    </row>
    <row r="112">
      <c r="A112" t="inlineStr">
        <is>
          <t>Aviation</t>
        </is>
      </c>
      <c r="B112" t="inlineStr">
        <is>
          <t>Airport Subordinate Obligation Fund</t>
        </is>
      </c>
      <c r="C112" s="11" t="n">
        <v>2000195</v>
      </c>
      <c r="D112" s="11" t="n">
        <v>1300633.34</v>
      </c>
      <c r="E112" t="n">
        <v>2</v>
      </c>
      <c r="F112" s="12" t="n">
        <v>75</v>
      </c>
      <c r="G112" s="11" t="n">
        <v>1500146.25</v>
      </c>
      <c r="H112" s="11" t="n">
        <v>699561.6600000001</v>
      </c>
      <c r="I112" s="12" t="n">
        <v>65.02532703061451</v>
      </c>
      <c r="J112" s="11" t="n">
        <v>-199512.9100000001</v>
      </c>
      <c r="K112" s="12" t="n">
        <v>-9.974672969385496</v>
      </c>
      <c r="L112" s="11" t="n">
        <v>1734177.786666666</v>
      </c>
      <c r="M112" s="11" t="n">
        <v>-266017.2133333336</v>
      </c>
      <c r="N112" t="inlineStr">
        <is>
          <t>Below pace</t>
        </is>
      </c>
    </row>
    <row r="113">
      <c r="A113" t="inlineStr">
        <is>
          <t>Austin Water</t>
        </is>
      </c>
      <c r="B113" t="inlineStr">
        <is>
          <t>W-Water Improvements</t>
        </is>
      </c>
      <c r="C113" s="11" t="n">
        <v>1915630</v>
      </c>
      <c r="D113" s="11" t="n">
        <v>1596359</v>
      </c>
      <c r="E113" t="n">
        <v>1</v>
      </c>
      <c r="F113" s="12" t="n">
        <v>75</v>
      </c>
      <c r="G113" s="11" t="n">
        <v>1436722.5</v>
      </c>
      <c r="H113" s="11" t="n">
        <v>319271</v>
      </c>
      <c r="I113" s="12" t="n">
        <v>83.33336813476507</v>
      </c>
      <c r="J113" s="11" t="n">
        <v>159636.5</v>
      </c>
      <c r="K113" s="12" t="n">
        <v>8.333368134765067</v>
      </c>
      <c r="L113" s="11" t="n">
        <v>2128478.666666667</v>
      </c>
      <c r="M113" s="11" t="n">
        <v>212848.6666666665</v>
      </c>
      <c r="N113" t="inlineStr">
        <is>
          <t>Above pace</t>
        </is>
      </c>
    </row>
    <row r="114">
      <c r="A114" t="inlineStr">
        <is>
          <t>Parks &amp; Recreation</t>
        </is>
      </c>
      <c r="B114" t="inlineStr">
        <is>
          <t>Parks and Recreation Parking and Gate Entry Fund</t>
        </is>
      </c>
      <c r="C114" s="11" t="n">
        <v>1912678</v>
      </c>
      <c r="D114" s="11" t="n">
        <v>1519976.6</v>
      </c>
      <c r="E114" t="n">
        <v>14</v>
      </c>
      <c r="F114" s="12" t="n">
        <v>75</v>
      </c>
      <c r="G114" s="11" t="n">
        <v>1434508.5</v>
      </c>
      <c r="H114" s="11" t="n">
        <v>392701.3999999999</v>
      </c>
      <c r="I114" s="12" t="n">
        <v>79.46850436926654</v>
      </c>
      <c r="J114" s="11" t="n">
        <v>85468.10000000009</v>
      </c>
      <c r="K114" s="12" t="n">
        <v>4.46850436926654</v>
      </c>
      <c r="L114" s="11" t="n">
        <v>2026635.466666667</v>
      </c>
      <c r="M114" s="11" t="n">
        <v>113957.4666666668</v>
      </c>
      <c r="N114" t="inlineStr">
        <is>
          <t>Near pace</t>
        </is>
      </c>
    </row>
    <row r="115">
      <c r="A115" t="inlineStr">
        <is>
          <t>Watershed Protection</t>
        </is>
      </c>
      <c r="B115" t="inlineStr">
        <is>
          <t>Urban Wtr Structual Control Fe</t>
        </is>
      </c>
      <c r="C115" s="11" t="n">
        <v>1681486</v>
      </c>
      <c r="D115" s="11" t="n">
        <v>1261114.5</v>
      </c>
      <c r="E115" t="n">
        <v>1</v>
      </c>
      <c r="F115" s="12" t="n">
        <v>75</v>
      </c>
      <c r="G115" s="11" t="n">
        <v>1261114.5</v>
      </c>
      <c r="H115" s="11" t="n">
        <v>420371.5</v>
      </c>
      <c r="I115" s="12" t="n">
        <v>75</v>
      </c>
      <c r="J115" s="11" t="n">
        <v>0</v>
      </c>
      <c r="K115" s="12" t="n">
        <v>0</v>
      </c>
      <c r="L115" s="11" t="n">
        <v>1681486</v>
      </c>
      <c r="M115" s="11" t="n">
        <v>0</v>
      </c>
      <c r="N115" t="inlineStr">
        <is>
          <t>Near pace</t>
        </is>
      </c>
    </row>
    <row r="116">
      <c r="A116" t="inlineStr">
        <is>
          <t>Building Services</t>
        </is>
      </c>
      <c r="B116" t="inlineStr">
        <is>
          <t>Ben White Facility Fund</t>
        </is>
      </c>
      <c r="C116" s="11" t="n">
        <v>1529560</v>
      </c>
      <c r="D116" s="11" t="n">
        <v>976380.58</v>
      </c>
      <c r="E116" t="n">
        <v>2</v>
      </c>
      <c r="F116" s="12" t="n">
        <v>75</v>
      </c>
      <c r="G116" s="11" t="n">
        <v>1147170</v>
      </c>
      <c r="H116" s="11" t="n">
        <v>553179.42</v>
      </c>
      <c r="I116" s="12" t="n">
        <v>63.83408169669709</v>
      </c>
      <c r="J116" s="11" t="n">
        <v>-170789.42</v>
      </c>
      <c r="K116" s="12" t="n">
        <v>-11.16591830330291</v>
      </c>
      <c r="L116" s="11" t="n">
        <v>1301840.773333333</v>
      </c>
      <c r="M116" s="11" t="n">
        <v>-227719.2266666668</v>
      </c>
      <c r="N116" t="inlineStr">
        <is>
          <t>Below pace</t>
        </is>
      </c>
    </row>
    <row r="117">
      <c r="A117" t="inlineStr">
        <is>
          <t>Planning &amp; Zoning</t>
        </is>
      </c>
      <c r="B117" t="inlineStr">
        <is>
          <t>GCP-NPZ General</t>
        </is>
      </c>
      <c r="C117" s="11" t="n">
        <v>1500000</v>
      </c>
      <c r="D117" s="11" t="n">
        <v>1500000</v>
      </c>
      <c r="E117" t="n">
        <v>2</v>
      </c>
      <c r="F117" s="12" t="n">
        <v>75</v>
      </c>
      <c r="G117" s="11" t="n">
        <v>1125000</v>
      </c>
      <c r="H117" s="11" t="n">
        <v>0</v>
      </c>
      <c r="I117" s="12" t="n">
        <v>100</v>
      </c>
      <c r="J117" s="11" t="n">
        <v>375000</v>
      </c>
      <c r="K117" s="12" t="n">
        <v>25</v>
      </c>
      <c r="L117" s="11" t="n">
        <v>2000000</v>
      </c>
      <c r="M117" s="11" t="n">
        <v>500000</v>
      </c>
      <c r="N117" t="inlineStr">
        <is>
          <t>Above pace</t>
        </is>
      </c>
    </row>
    <row r="118">
      <c r="A118" t="inlineStr">
        <is>
          <t>Parks &amp; Recreation</t>
        </is>
      </c>
      <c r="B118" t="inlineStr">
        <is>
          <t>PARD Donations Fund</t>
        </is>
      </c>
      <c r="C118" s="11" t="n">
        <v>1300038</v>
      </c>
      <c r="D118" s="11" t="n">
        <v>115469.17</v>
      </c>
      <c r="E118" t="n">
        <v>49</v>
      </c>
      <c r="F118" s="12" t="n">
        <v>75</v>
      </c>
      <c r="G118" s="11" t="n">
        <v>975028.5</v>
      </c>
      <c r="H118" s="11" t="n">
        <v>1184568.83</v>
      </c>
      <c r="I118" s="12" t="n">
        <v>8.881984218922831</v>
      </c>
      <c r="J118" s="11" t="n">
        <v>-859559.33</v>
      </c>
      <c r="K118" s="12" t="n">
        <v>-66.11801578107716</v>
      </c>
      <c r="L118" s="11" t="n">
        <v>153958.8933333333</v>
      </c>
      <c r="M118" s="11" t="n">
        <v>-1146079.106666667</v>
      </c>
      <c r="N118" t="inlineStr">
        <is>
          <t>Below pace</t>
        </is>
      </c>
    </row>
    <row r="119">
      <c r="A119" t="inlineStr">
        <is>
          <t>Police</t>
        </is>
      </c>
      <c r="B119" t="inlineStr">
        <is>
          <t>Police Federal Department of Justice Asset Forfeiture Fund</t>
        </is>
      </c>
      <c r="C119" s="11" t="n">
        <v>1271568</v>
      </c>
      <c r="D119" s="11" t="n">
        <v>255498.04</v>
      </c>
      <c r="E119" t="n">
        <v>9</v>
      </c>
      <c r="F119" s="12" t="n">
        <v>75</v>
      </c>
      <c r="G119" s="11" t="n">
        <v>953676</v>
      </c>
      <c r="H119" s="11" t="n">
        <v>1016069.96</v>
      </c>
      <c r="I119" s="12" t="n">
        <v>20.09314798736678</v>
      </c>
      <c r="J119" s="11" t="n">
        <v>-698177.96</v>
      </c>
      <c r="K119" s="12" t="n">
        <v>-54.90685201263322</v>
      </c>
      <c r="L119" s="11" t="n">
        <v>340664.0533333333</v>
      </c>
      <c r="M119" s="11" t="n">
        <v>-930903.9466666668</v>
      </c>
      <c r="N119" t="inlineStr">
        <is>
          <t>Below pace</t>
        </is>
      </c>
    </row>
    <row r="120">
      <c r="A120" t="inlineStr">
        <is>
          <t>Austin Public Health</t>
        </is>
      </c>
      <c r="B120" t="inlineStr">
        <is>
          <t>Opioid Settlement Fund</t>
        </is>
      </c>
      <c r="C120" s="11" t="n">
        <v>1166795</v>
      </c>
      <c r="D120" s="11" t="n">
        <v>598501.9500000001</v>
      </c>
      <c r="E120" t="n">
        <v>24</v>
      </c>
      <c r="F120" s="12" t="n">
        <v>75</v>
      </c>
      <c r="G120" s="11" t="n">
        <v>875096.25</v>
      </c>
      <c r="H120" s="11" t="n">
        <v>568293.0499999999</v>
      </c>
      <c r="I120" s="12" t="n">
        <v>51.29452474513519</v>
      </c>
      <c r="J120" s="11" t="n">
        <v>-276594.3</v>
      </c>
      <c r="K120" s="12" t="n">
        <v>-23.70547525486481</v>
      </c>
      <c r="L120" s="11" t="n">
        <v>798002.6000000001</v>
      </c>
      <c r="M120" s="11" t="n">
        <v>-368792.3999999999</v>
      </c>
      <c r="N120" t="inlineStr">
        <is>
          <t>Below pace</t>
        </is>
      </c>
    </row>
    <row r="121">
      <c r="A121" t="inlineStr">
        <is>
          <t>Animal Services</t>
        </is>
      </c>
      <c r="B121" t="inlineStr">
        <is>
          <t>Animal Services Fund</t>
        </is>
      </c>
      <c r="C121" s="11" t="n">
        <v>1136094.27</v>
      </c>
      <c r="D121" s="11" t="n">
        <v>319314.72</v>
      </c>
      <c r="E121" t="n">
        <v>39</v>
      </c>
      <c r="F121" s="12" t="n">
        <v>75</v>
      </c>
      <c r="G121" s="11" t="n">
        <v>852070.7025</v>
      </c>
      <c r="H121" s="11" t="n">
        <v>816779.55</v>
      </c>
      <c r="I121" s="12" t="n">
        <v>28.10635775849834</v>
      </c>
      <c r="J121" s="11" t="n">
        <v>-532755.9824999999</v>
      </c>
      <c r="K121" s="12" t="n">
        <v>-46.89364224150167</v>
      </c>
      <c r="L121" s="11" t="n">
        <v>425752.96</v>
      </c>
      <c r="M121" s="11" t="n">
        <v>-710341.3100000001</v>
      </c>
      <c r="N121" t="inlineStr">
        <is>
          <t>Below pace</t>
        </is>
      </c>
    </row>
    <row r="122">
      <c r="A122" t="inlineStr">
        <is>
          <t>Austin Convention Center</t>
        </is>
      </c>
      <c r="B122" t="inlineStr">
        <is>
          <t>Tourism District Incentives Fund</t>
        </is>
      </c>
      <c r="C122" s="11" t="n">
        <v>942845</v>
      </c>
      <c r="D122" s="11" t="n">
        <v>785704.17</v>
      </c>
      <c r="E122" t="n">
        <v>2</v>
      </c>
      <c r="F122" s="12" t="n">
        <v>75</v>
      </c>
      <c r="G122" s="11" t="n">
        <v>707133.75</v>
      </c>
      <c r="H122" s="11" t="n">
        <v>157140.83</v>
      </c>
      <c r="I122" s="12" t="n">
        <v>83.33333368687325</v>
      </c>
      <c r="J122" s="11" t="n">
        <v>78570.42000000004</v>
      </c>
      <c r="K122" s="12" t="n">
        <v>8.333333686873246</v>
      </c>
      <c r="L122" s="11" t="n">
        <v>1047605.56</v>
      </c>
      <c r="M122" s="11" t="n">
        <v>104760.5600000001</v>
      </c>
      <c r="N122" t="inlineStr">
        <is>
          <t>Above pace</t>
        </is>
      </c>
    </row>
    <row r="123">
      <c r="A123" t="inlineStr">
        <is>
          <t>Economic Development</t>
        </is>
      </c>
      <c r="B123" t="inlineStr">
        <is>
          <t>Rainey Street Historic District Fund</t>
        </is>
      </c>
      <c r="C123" s="11" t="n">
        <v>901054</v>
      </c>
      <c r="D123" s="11" t="n">
        <v>0</v>
      </c>
      <c r="E123" t="n">
        <v>1</v>
      </c>
      <c r="F123" s="12" t="n">
        <v>75</v>
      </c>
      <c r="G123" s="11" t="n">
        <v>675790.5</v>
      </c>
      <c r="H123" s="11" t="n">
        <v>901054</v>
      </c>
      <c r="I123" s="12" t="n">
        <v>0</v>
      </c>
      <c r="J123" s="11" t="n">
        <v>-675790.5</v>
      </c>
      <c r="K123" s="12" t="n">
        <v>-75</v>
      </c>
      <c r="L123" s="11" t="n">
        <v>0</v>
      </c>
      <c r="M123" s="11" t="n">
        <v>-901054</v>
      </c>
      <c r="N123" t="inlineStr">
        <is>
          <t>Below pace</t>
        </is>
      </c>
    </row>
    <row r="124">
      <c r="A124" t="inlineStr">
        <is>
          <t>Homeless Strategy Office</t>
        </is>
      </c>
      <c r="B124" t="inlineStr">
        <is>
          <t>House Our People Endowment Fund</t>
        </is>
      </c>
      <c r="C124" s="11" t="n">
        <v>900000</v>
      </c>
      <c r="D124" s="11" t="n">
        <v>43915.38</v>
      </c>
      <c r="E124" t="n">
        <v>11</v>
      </c>
      <c r="F124" s="12" t="n">
        <v>75</v>
      </c>
      <c r="G124" s="11" t="n">
        <v>675000</v>
      </c>
      <c r="H124" s="11" t="n">
        <v>856084.62</v>
      </c>
      <c r="I124" s="12" t="n">
        <v>4.879486666666667</v>
      </c>
      <c r="J124" s="11" t="n">
        <v>-631084.62</v>
      </c>
      <c r="K124" s="12" t="n">
        <v>-70.12051333333334</v>
      </c>
      <c r="L124" s="11" t="n">
        <v>58553.84</v>
      </c>
      <c r="M124" s="11" t="n">
        <v>-841446.16</v>
      </c>
      <c r="N124" t="inlineStr">
        <is>
          <t>Below pace</t>
        </is>
      </c>
    </row>
    <row r="125">
      <c r="A125" t="inlineStr">
        <is>
          <t>Public Works</t>
        </is>
      </c>
      <c r="B125" t="inlineStr">
        <is>
          <t>General Fund Budget Stabilization Reserve Fund</t>
        </is>
      </c>
      <c r="C125" s="11" t="n">
        <v>898000</v>
      </c>
      <c r="D125" s="11" t="n">
        <v>202976.9</v>
      </c>
      <c r="E125" t="n">
        <v>7</v>
      </c>
      <c r="F125" s="12" t="n">
        <v>75</v>
      </c>
      <c r="G125" s="11" t="n">
        <v>673500</v>
      </c>
      <c r="H125" s="11" t="n">
        <v>695023.1</v>
      </c>
      <c r="I125" s="12" t="n">
        <v>22.60321826280624</v>
      </c>
      <c r="J125" s="11" t="n">
        <v>-470523.1</v>
      </c>
      <c r="K125" s="12" t="n">
        <v>-52.39678173719376</v>
      </c>
      <c r="L125" s="11" t="n">
        <v>270635.8666666666</v>
      </c>
      <c r="M125" s="11" t="n">
        <v>-627364.1333333333</v>
      </c>
      <c r="N125" t="inlineStr">
        <is>
          <t>Below pace</t>
        </is>
      </c>
    </row>
    <row r="126">
      <c r="A126" t="inlineStr">
        <is>
          <t>Fire</t>
        </is>
      </c>
      <c r="B126" t="inlineStr">
        <is>
          <t>General Fund Budget Stabilization Reserve Fund</t>
        </is>
      </c>
      <c r="C126" s="11" t="n">
        <v>875000</v>
      </c>
      <c r="D126" s="11" t="n">
        <v>875000</v>
      </c>
      <c r="E126" t="n">
        <v>3</v>
      </c>
      <c r="F126" s="12" t="n">
        <v>75</v>
      </c>
      <c r="G126" s="11" t="n">
        <v>656250</v>
      </c>
      <c r="H126" s="11" t="n">
        <v>0</v>
      </c>
      <c r="I126" s="12" t="n">
        <v>100</v>
      </c>
      <c r="J126" s="11" t="n">
        <v>218750</v>
      </c>
      <c r="K126" s="12" t="n">
        <v>25</v>
      </c>
      <c r="L126" s="11" t="n">
        <v>1166666.666666667</v>
      </c>
      <c r="M126" s="11" t="n">
        <v>291666.6666666667</v>
      </c>
      <c r="N126" t="inlineStr">
        <is>
          <t>Above pace</t>
        </is>
      </c>
    </row>
    <row r="127">
      <c r="A127" t="inlineStr">
        <is>
          <t>Parks &amp; Recreation</t>
        </is>
      </c>
      <c r="B127" t="inlineStr">
        <is>
          <t>Golf Surcharge Fund</t>
        </is>
      </c>
      <c r="C127" s="11" t="n">
        <v>870908</v>
      </c>
      <c r="D127" s="11" t="n">
        <v>653181</v>
      </c>
      <c r="E127" t="n">
        <v>1</v>
      </c>
      <c r="F127" s="12" t="n">
        <v>75</v>
      </c>
      <c r="G127" s="11" t="n">
        <v>653181</v>
      </c>
      <c r="H127" s="11" t="n">
        <v>217727</v>
      </c>
      <c r="I127" s="12" t="n">
        <v>75</v>
      </c>
      <c r="J127" s="11" t="n">
        <v>0</v>
      </c>
      <c r="K127" s="12" t="n">
        <v>0</v>
      </c>
      <c r="L127" s="11" t="n">
        <v>870908</v>
      </c>
      <c r="M127" s="11" t="n">
        <v>0</v>
      </c>
      <c r="N127" t="inlineStr">
        <is>
          <t>Near pace</t>
        </is>
      </c>
    </row>
    <row r="128">
      <c r="A128" t="inlineStr">
        <is>
          <t>Police</t>
        </is>
      </c>
      <c r="B128" t="inlineStr">
        <is>
          <t>Police Benefit Fund</t>
        </is>
      </c>
      <c r="C128" s="11" t="n">
        <v>739054</v>
      </c>
      <c r="D128" s="11" t="n">
        <v>151965.03</v>
      </c>
      <c r="E128" t="n">
        <v>4</v>
      </c>
      <c r="F128" s="12" t="n">
        <v>75</v>
      </c>
      <c r="G128" s="11" t="n">
        <v>554290.5</v>
      </c>
      <c r="H128" s="11" t="n">
        <v>587088.97</v>
      </c>
      <c r="I128" s="12" t="n">
        <v>20.56210101021035</v>
      </c>
      <c r="J128" s="11" t="n">
        <v>-402325.47</v>
      </c>
      <c r="K128" s="12" t="n">
        <v>-54.43789898978965</v>
      </c>
      <c r="L128" s="11" t="n">
        <v>202620.04</v>
      </c>
      <c r="M128" s="11" t="n">
        <v>-536433.96</v>
      </c>
      <c r="N128" t="inlineStr">
        <is>
          <t>Below pace</t>
        </is>
      </c>
    </row>
    <row r="129">
      <c r="A129" t="inlineStr">
        <is>
          <t>Austin Public Library</t>
        </is>
      </c>
      <c r="B129" t="inlineStr">
        <is>
          <t>Special Library</t>
        </is>
      </c>
      <c r="C129" s="11" t="n">
        <v>692488</v>
      </c>
      <c r="D129" s="11" t="n">
        <v>91932.23</v>
      </c>
      <c r="E129" t="n">
        <v>26</v>
      </c>
      <c r="F129" s="12" t="n">
        <v>75</v>
      </c>
      <c r="G129" s="11" t="n">
        <v>519366</v>
      </c>
      <c r="H129" s="11" t="n">
        <v>600555.77</v>
      </c>
      <c r="I129" s="12" t="n">
        <v>13.2756423215998</v>
      </c>
      <c r="J129" s="11" t="n">
        <v>-427433.77</v>
      </c>
      <c r="K129" s="12" t="n">
        <v>-61.7243576784002</v>
      </c>
      <c r="L129" s="11" t="n">
        <v>122576.3066666667</v>
      </c>
      <c r="M129" s="11" t="n">
        <v>-569911.6933333334</v>
      </c>
      <c r="N129" t="inlineStr">
        <is>
          <t>Below pace</t>
        </is>
      </c>
    </row>
    <row r="130">
      <c r="A130" t="inlineStr">
        <is>
          <t>Building Services</t>
        </is>
      </c>
      <c r="B130" t="inlineStr">
        <is>
          <t>Rutherford Lane Facility Fund</t>
        </is>
      </c>
      <c r="C130" s="11" t="n">
        <v>597996</v>
      </c>
      <c r="D130" s="11" t="n">
        <v>0</v>
      </c>
      <c r="E130" t="n">
        <v>3</v>
      </c>
      <c r="F130" s="12" t="n">
        <v>75</v>
      </c>
      <c r="G130" s="11" t="n">
        <v>448497</v>
      </c>
      <c r="H130" s="11" t="n">
        <v>597996</v>
      </c>
      <c r="I130" s="12" t="n">
        <v>0</v>
      </c>
      <c r="J130" s="11" t="n">
        <v>-448497</v>
      </c>
      <c r="K130" s="12" t="n">
        <v>-75</v>
      </c>
      <c r="L130" s="11" t="n">
        <v>0</v>
      </c>
      <c r="M130" s="11" t="n">
        <v>-597996</v>
      </c>
      <c r="N130" t="inlineStr">
        <is>
          <t>Below pace</t>
        </is>
      </c>
    </row>
    <row r="131">
      <c r="A131" t="inlineStr">
        <is>
          <t>Financial Services</t>
        </is>
      </c>
      <c r="B131" t="inlineStr">
        <is>
          <t>Seaholm Parking Garage Revenue Fund</t>
        </is>
      </c>
      <c r="C131" s="11" t="n">
        <v>578295</v>
      </c>
      <c r="D131" s="11" t="n">
        <v>578295</v>
      </c>
      <c r="E131" t="n">
        <v>1</v>
      </c>
      <c r="F131" s="12" t="n">
        <v>75</v>
      </c>
      <c r="G131" s="11" t="n">
        <v>433721.25</v>
      </c>
      <c r="H131" s="11" t="n">
        <v>0</v>
      </c>
      <c r="I131" s="12" t="n">
        <v>100</v>
      </c>
      <c r="J131" s="11" t="n">
        <v>144573.75</v>
      </c>
      <c r="K131" s="12" t="n">
        <v>25</v>
      </c>
      <c r="L131" s="11" t="n">
        <v>771060</v>
      </c>
      <c r="M131" s="11" t="n">
        <v>192765</v>
      </c>
      <c r="N131" t="inlineStr">
        <is>
          <t>Above pace</t>
        </is>
      </c>
    </row>
    <row r="132">
      <c r="A132" t="inlineStr">
        <is>
          <t>Police</t>
        </is>
      </c>
      <c r="B132" t="inlineStr">
        <is>
          <t>ARIC Sustainability</t>
        </is>
      </c>
      <c r="C132" s="11" t="n">
        <v>571573</v>
      </c>
      <c r="D132" s="11" t="n">
        <v>419527.63</v>
      </c>
      <c r="E132" t="n">
        <v>14</v>
      </c>
      <c r="F132" s="12" t="n">
        <v>75</v>
      </c>
      <c r="G132" s="11" t="n">
        <v>428679.75</v>
      </c>
      <c r="H132" s="11" t="n">
        <v>152045.37</v>
      </c>
      <c r="I132" s="12" t="n">
        <v>73.39878370741795</v>
      </c>
      <c r="J132" s="11" t="n">
        <v>-9152.119999999995</v>
      </c>
      <c r="K132" s="12" t="n">
        <v>-1.601216292582052</v>
      </c>
      <c r="L132" s="11" t="n">
        <v>559370.1733333333</v>
      </c>
      <c r="M132" s="11" t="n">
        <v>-12202.82666666666</v>
      </c>
      <c r="N132" t="inlineStr">
        <is>
          <t>Near pace</t>
        </is>
      </c>
    </row>
    <row r="133">
      <c r="A133" t="inlineStr">
        <is>
          <t>Financial Services</t>
        </is>
      </c>
      <c r="B133" t="inlineStr">
        <is>
          <t>Indian Hills Public Improvement District Fund</t>
        </is>
      </c>
      <c r="C133" s="11" t="n">
        <v>557131</v>
      </c>
      <c r="D133" s="11" t="n">
        <v>55111.4</v>
      </c>
      <c r="E133" t="n">
        <v>5</v>
      </c>
      <c r="F133" s="12" t="n">
        <v>75</v>
      </c>
      <c r="G133" s="11" t="n">
        <v>417848.25</v>
      </c>
      <c r="H133" s="11" t="n">
        <v>502019.6</v>
      </c>
      <c r="I133" s="12" t="n">
        <v>9.892000265646679</v>
      </c>
      <c r="J133" s="11" t="n">
        <v>-362736.85</v>
      </c>
      <c r="K133" s="12" t="n">
        <v>-65.10799973435331</v>
      </c>
      <c r="L133" s="11" t="n">
        <v>73481.86666666667</v>
      </c>
      <c r="M133" s="11" t="n">
        <v>-483649.1333333333</v>
      </c>
      <c r="N133" t="inlineStr">
        <is>
          <t>Below pace</t>
        </is>
      </c>
    </row>
    <row r="134">
      <c r="A134" t="inlineStr">
        <is>
          <t>Austin Convention Center</t>
        </is>
      </c>
      <c r="B134" t="inlineStr">
        <is>
          <t>Convention Center Repair and Replacement Fund</t>
        </is>
      </c>
      <c r="C134" s="11" t="n">
        <v>538004</v>
      </c>
      <c r="D134" s="11" t="n">
        <v>61744.21</v>
      </c>
      <c r="E134" t="n">
        <v>4</v>
      </c>
      <c r="F134" s="12" t="n">
        <v>75</v>
      </c>
      <c r="G134" s="11" t="n">
        <v>403503</v>
      </c>
      <c r="H134" s="11" t="n">
        <v>476259.79</v>
      </c>
      <c r="I134" s="12" t="n">
        <v>11.47653363172021</v>
      </c>
      <c r="J134" s="11" t="n">
        <v>-341758.79</v>
      </c>
      <c r="K134" s="12" t="n">
        <v>-63.52346636827979</v>
      </c>
      <c r="L134" s="11" t="n">
        <v>82325.61333333333</v>
      </c>
      <c r="M134" s="11" t="n">
        <v>-455678.3866666667</v>
      </c>
      <c r="N134" t="inlineStr">
        <is>
          <t>Below pace</t>
        </is>
      </c>
    </row>
    <row r="135">
      <c r="A135" t="inlineStr">
        <is>
          <t>Human Resources</t>
        </is>
      </c>
      <c r="B135" t="inlineStr">
        <is>
          <t>General Fund</t>
        </is>
      </c>
      <c r="C135" s="11" t="n">
        <v>465000</v>
      </c>
      <c r="D135" s="11" t="n">
        <v>452529.99</v>
      </c>
      <c r="E135" t="n">
        <v>1</v>
      </c>
      <c r="F135" s="12" t="n">
        <v>75</v>
      </c>
      <c r="G135" s="11" t="n">
        <v>348750</v>
      </c>
      <c r="H135" s="11" t="n">
        <v>12470.01000000001</v>
      </c>
      <c r="I135" s="12" t="n">
        <v>97.31827741935484</v>
      </c>
      <c r="J135" s="11" t="n">
        <v>103779.99</v>
      </c>
      <c r="K135" s="12" t="n">
        <v>22.31827741935484</v>
      </c>
      <c r="L135" s="11" t="n">
        <v>603373.3199999999</v>
      </c>
      <c r="M135" s="11" t="n">
        <v>138373.3199999999</v>
      </c>
      <c r="N135" t="inlineStr">
        <is>
          <t>Above pace</t>
        </is>
      </c>
    </row>
    <row r="136">
      <c r="A136" t="inlineStr">
        <is>
          <t>Watershed Protection</t>
        </is>
      </c>
      <c r="B136" t="inlineStr">
        <is>
          <t>Riparian Zone Mitigation Fund</t>
        </is>
      </c>
      <c r="C136" s="11" t="n">
        <v>400000</v>
      </c>
      <c r="D136" s="11" t="n">
        <v>300000</v>
      </c>
      <c r="E136" t="n">
        <v>1</v>
      </c>
      <c r="F136" s="12" t="n">
        <v>75</v>
      </c>
      <c r="G136" s="11" t="n">
        <v>300000</v>
      </c>
      <c r="H136" s="11" t="n">
        <v>100000</v>
      </c>
      <c r="I136" s="12" t="n">
        <v>75</v>
      </c>
      <c r="J136" s="11" t="n">
        <v>0</v>
      </c>
      <c r="K136" s="12" t="n">
        <v>0</v>
      </c>
      <c r="L136" s="11" t="n">
        <v>400000</v>
      </c>
      <c r="M136" s="11" t="n">
        <v>0</v>
      </c>
      <c r="N136" t="inlineStr">
        <is>
          <t>Near pace</t>
        </is>
      </c>
    </row>
    <row r="137">
      <c r="A137" t="inlineStr">
        <is>
          <t>General Obligation Debt Service</t>
        </is>
      </c>
      <c r="B137" t="inlineStr">
        <is>
          <t>HUD Section 108 Debt Service Fund</t>
        </is>
      </c>
      <c r="C137" s="11" t="n">
        <v>395350</v>
      </c>
      <c r="D137" s="11" t="n">
        <v>349578.56</v>
      </c>
      <c r="E137" t="n">
        <v>3</v>
      </c>
      <c r="F137" s="12" t="n">
        <v>75</v>
      </c>
      <c r="G137" s="11" t="n">
        <v>296512.5</v>
      </c>
      <c r="H137" s="11" t="n">
        <v>45771.44</v>
      </c>
      <c r="I137" s="12" t="n">
        <v>88.4225521689642</v>
      </c>
      <c r="J137" s="11" t="n">
        <v>53066.06</v>
      </c>
      <c r="K137" s="12" t="n">
        <v>13.4225521689642</v>
      </c>
      <c r="L137" s="11" t="n">
        <v>466104.7466666666</v>
      </c>
      <c r="M137" s="11" t="n">
        <v>70754.74666666664</v>
      </c>
      <c r="N137" t="inlineStr">
        <is>
          <t>Above pace</t>
        </is>
      </c>
    </row>
    <row r="138">
      <c r="A138" t="inlineStr">
        <is>
          <t>Economic Development</t>
        </is>
      </c>
      <c r="B138" t="inlineStr">
        <is>
          <t>HUD Section 108 Family Business Loan Program Fund</t>
        </is>
      </c>
      <c r="C138" s="11" t="n">
        <v>395350</v>
      </c>
      <c r="D138" s="11" t="n">
        <v>329458.3</v>
      </c>
      <c r="E138" t="n">
        <v>2</v>
      </c>
      <c r="F138" s="12" t="n">
        <v>75</v>
      </c>
      <c r="G138" s="11" t="n">
        <v>296512.5</v>
      </c>
      <c r="H138" s="11" t="n">
        <v>65891.70000000001</v>
      </c>
      <c r="I138" s="12" t="n">
        <v>83.33332490198558</v>
      </c>
      <c r="J138" s="11" t="n">
        <v>32945.79999999999</v>
      </c>
      <c r="K138" s="12" t="n">
        <v>8.333324901985577</v>
      </c>
      <c r="L138" s="11" t="n">
        <v>439277.7333333333</v>
      </c>
      <c r="M138" s="11" t="n">
        <v>43927.73333333334</v>
      </c>
      <c r="N138" t="inlineStr">
        <is>
          <t>Above pace</t>
        </is>
      </c>
    </row>
    <row r="139">
      <c r="A139" t="inlineStr">
        <is>
          <t>Economic Development</t>
        </is>
      </c>
      <c r="B139" t="inlineStr">
        <is>
          <t>South Congress Public Improvement District Fund</t>
        </is>
      </c>
      <c r="C139" s="11" t="n">
        <v>327000</v>
      </c>
      <c r="D139" s="11" t="n">
        <v>22532.5</v>
      </c>
      <c r="E139" t="n">
        <v>5</v>
      </c>
      <c r="F139" s="12" t="n">
        <v>75</v>
      </c>
      <c r="G139" s="11" t="n">
        <v>245250</v>
      </c>
      <c r="H139" s="11" t="n">
        <v>304467.5</v>
      </c>
      <c r="I139" s="12" t="n">
        <v>6.890672782874618</v>
      </c>
      <c r="J139" s="11" t="n">
        <v>-222717.5</v>
      </c>
      <c r="K139" s="12" t="n">
        <v>-68.10932721712538</v>
      </c>
      <c r="L139" s="11" t="n">
        <v>30043.33333333333</v>
      </c>
      <c r="M139" s="11" t="n">
        <v>-296956.6666666667</v>
      </c>
      <c r="N139" t="inlineStr">
        <is>
          <t>Below pace</t>
        </is>
      </c>
    </row>
    <row r="140">
      <c r="A140" t="inlineStr">
        <is>
          <t>Police</t>
        </is>
      </c>
      <c r="B140" t="inlineStr">
        <is>
          <t>Police Federal Department of Treasury Asset Forfeiture Fund</t>
        </is>
      </c>
      <c r="C140" s="11" t="n">
        <v>323224</v>
      </c>
      <c r="D140" s="11" t="n">
        <v>0</v>
      </c>
      <c r="E140" t="n">
        <v>4</v>
      </c>
      <c r="F140" s="12" t="n">
        <v>75</v>
      </c>
      <c r="G140" s="11" t="n">
        <v>242418</v>
      </c>
      <c r="H140" s="11" t="n">
        <v>323224</v>
      </c>
      <c r="I140" s="12" t="n">
        <v>0</v>
      </c>
      <c r="J140" s="11" t="n">
        <v>-242418</v>
      </c>
      <c r="K140" s="12" t="n">
        <v>-75</v>
      </c>
      <c r="L140" s="11" t="n">
        <v>0</v>
      </c>
      <c r="M140" s="11" t="n">
        <v>-323224</v>
      </c>
      <c r="N140" t="inlineStr">
        <is>
          <t>Below pace</t>
        </is>
      </c>
    </row>
    <row r="141">
      <c r="A141" t="inlineStr">
        <is>
          <t>Planning &amp; Zoning</t>
        </is>
      </c>
      <c r="B141" t="inlineStr">
        <is>
          <t>Planning Technology Fund</t>
        </is>
      </c>
      <c r="C141" s="11" t="n">
        <v>309760</v>
      </c>
      <c r="D141" s="11" t="n">
        <v>236309.22</v>
      </c>
      <c r="E141" t="n">
        <v>7</v>
      </c>
      <c r="F141" s="12" t="n">
        <v>75</v>
      </c>
      <c r="G141" s="11" t="n">
        <v>232320</v>
      </c>
      <c r="H141" s="11" t="n">
        <v>73450.78</v>
      </c>
      <c r="I141" s="12" t="n">
        <v>76.28784220041322</v>
      </c>
      <c r="J141" s="11" t="n">
        <v>3989.220000000001</v>
      </c>
      <c r="K141" s="12" t="n">
        <v>1.287842200413223</v>
      </c>
      <c r="L141" s="11" t="n">
        <v>315078.96</v>
      </c>
      <c r="M141" s="11" t="n">
        <v>5318.960000000021</v>
      </c>
      <c r="N141" t="inlineStr">
        <is>
          <t>Near pace</t>
        </is>
      </c>
    </row>
    <row r="142">
      <c r="A142" t="inlineStr">
        <is>
          <t>Austin Water</t>
        </is>
      </c>
      <c r="B142" t="inlineStr">
        <is>
          <t>Water Reclamation</t>
        </is>
      </c>
      <c r="C142" s="11" t="n">
        <v>309231</v>
      </c>
      <c r="D142" s="11" t="n">
        <v>309231</v>
      </c>
      <c r="E142" t="n">
        <v>1</v>
      </c>
      <c r="F142" s="12" t="n">
        <v>75</v>
      </c>
      <c r="G142" s="11" t="n">
        <v>231923.25</v>
      </c>
      <c r="H142" s="11" t="n">
        <v>0</v>
      </c>
      <c r="I142" s="12" t="n">
        <v>100</v>
      </c>
      <c r="J142" s="11" t="n">
        <v>77307.75</v>
      </c>
      <c r="K142" s="12" t="n">
        <v>25</v>
      </c>
      <c r="L142" s="11" t="n">
        <v>412308</v>
      </c>
      <c r="M142" s="11" t="n">
        <v>103077</v>
      </c>
      <c r="N142" t="inlineStr">
        <is>
          <t>Above pace</t>
        </is>
      </c>
    </row>
    <row r="143">
      <c r="A143" t="inlineStr">
        <is>
          <t>Police</t>
        </is>
      </c>
      <c r="B143" t="inlineStr">
        <is>
          <t>Police State Contraband Asset Forfeiture Fund</t>
        </is>
      </c>
      <c r="C143" s="11" t="n">
        <v>302603</v>
      </c>
      <c r="D143" s="11" t="n">
        <v>0</v>
      </c>
      <c r="E143" t="n">
        <v>10</v>
      </c>
      <c r="F143" s="12" t="n">
        <v>75</v>
      </c>
      <c r="G143" s="11" t="n">
        <v>226952.25</v>
      </c>
      <c r="H143" s="11" t="n">
        <v>302603</v>
      </c>
      <c r="I143" s="12" t="n">
        <v>0</v>
      </c>
      <c r="J143" s="11" t="n">
        <v>-226952.25</v>
      </c>
      <c r="K143" s="12" t="n">
        <v>-75</v>
      </c>
      <c r="L143" s="11" t="n">
        <v>0</v>
      </c>
      <c r="M143" s="11" t="n">
        <v>-302603</v>
      </c>
      <c r="N143" t="inlineStr">
        <is>
          <t>Below pace</t>
        </is>
      </c>
    </row>
    <row r="144">
      <c r="A144" t="inlineStr">
        <is>
          <t>Building Services</t>
        </is>
      </c>
      <c r="B144" t="inlineStr">
        <is>
          <t>Long Center Capital Improvements Fund</t>
        </is>
      </c>
      <c r="C144" s="11" t="n">
        <v>300000</v>
      </c>
      <c r="D144" s="11" t="n">
        <v>100516.37</v>
      </c>
      <c r="E144" t="n">
        <v>1</v>
      </c>
      <c r="F144" s="12" t="n">
        <v>75</v>
      </c>
      <c r="G144" s="11" t="n">
        <v>225000</v>
      </c>
      <c r="H144" s="11" t="n">
        <v>199483.63</v>
      </c>
      <c r="I144" s="12" t="n">
        <v>33.50545666666667</v>
      </c>
      <c r="J144" s="11" t="n">
        <v>-124483.63</v>
      </c>
      <c r="K144" s="12" t="n">
        <v>-41.49454333333333</v>
      </c>
      <c r="L144" s="11" t="n">
        <v>134021.8266666667</v>
      </c>
      <c r="M144" s="11" t="n">
        <v>-165978.1733333333</v>
      </c>
      <c r="N144" t="inlineStr">
        <is>
          <t>Below pace</t>
        </is>
      </c>
    </row>
    <row r="145">
      <c r="A145" t="inlineStr">
        <is>
          <t>Austin Water</t>
        </is>
      </c>
      <c r="B145" t="inlineStr">
        <is>
          <t>Austin Water Wildland Conservation Fund</t>
        </is>
      </c>
      <c r="C145" s="11" t="n">
        <v>285000</v>
      </c>
      <c r="D145" s="11" t="n">
        <v>117152.53</v>
      </c>
      <c r="E145" t="n">
        <v>2</v>
      </c>
      <c r="F145" s="12" t="n">
        <v>75</v>
      </c>
      <c r="G145" s="11" t="n">
        <v>213750</v>
      </c>
      <c r="H145" s="11" t="n">
        <v>167847.47</v>
      </c>
      <c r="I145" s="12" t="n">
        <v>41.10615087719298</v>
      </c>
      <c r="J145" s="11" t="n">
        <v>-96597.47</v>
      </c>
      <c r="K145" s="12" t="n">
        <v>-33.89384912280702</v>
      </c>
      <c r="L145" s="11" t="n">
        <v>156203.3733333333</v>
      </c>
      <c r="M145" s="11" t="n">
        <v>-128796.6266666667</v>
      </c>
      <c r="N145" t="inlineStr">
        <is>
          <t>Below pace</t>
        </is>
      </c>
    </row>
    <row r="146">
      <c r="A146" t="inlineStr">
        <is>
          <t>Financial Services</t>
        </is>
      </c>
      <c r="B146" t="inlineStr">
        <is>
          <t>Mueller Development Fund</t>
        </is>
      </c>
      <c r="C146" s="11" t="n">
        <v>280000</v>
      </c>
      <c r="D146" s="11" t="n">
        <v>0</v>
      </c>
      <c r="E146" t="n">
        <v>1</v>
      </c>
      <c r="F146" s="12" t="n">
        <v>75</v>
      </c>
      <c r="G146" s="11" t="n">
        <v>210000</v>
      </c>
      <c r="H146" s="11" t="n">
        <v>280000</v>
      </c>
      <c r="I146" s="12" t="n">
        <v>0</v>
      </c>
      <c r="J146" s="11" t="n">
        <v>-210000</v>
      </c>
      <c r="K146" s="12" t="n">
        <v>-75</v>
      </c>
      <c r="L146" s="11" t="n">
        <v>0</v>
      </c>
      <c r="M146" s="11" t="n">
        <v>-280000</v>
      </c>
      <c r="N146" t="inlineStr">
        <is>
          <t>Below pace</t>
        </is>
      </c>
    </row>
    <row r="147">
      <c r="A147" t="inlineStr">
        <is>
          <t>Watershed Protection</t>
        </is>
      </c>
      <c r="B147" t="inlineStr">
        <is>
          <t>Barton Springs Conservation</t>
        </is>
      </c>
      <c r="C147" s="11" t="n">
        <v>260000</v>
      </c>
      <c r="D147" s="11" t="n">
        <v>56462.61</v>
      </c>
      <c r="E147" t="n">
        <v>2</v>
      </c>
      <c r="F147" s="12" t="n">
        <v>75</v>
      </c>
      <c r="G147" s="11" t="n">
        <v>195000</v>
      </c>
      <c r="H147" s="11" t="n">
        <v>203537.39</v>
      </c>
      <c r="I147" s="12" t="n">
        <v>21.71638846153846</v>
      </c>
      <c r="J147" s="11" t="n">
        <v>-138537.39</v>
      </c>
      <c r="K147" s="12" t="n">
        <v>-53.28361153846154</v>
      </c>
      <c r="L147" s="11" t="n">
        <v>75283.48</v>
      </c>
      <c r="M147" s="11" t="n">
        <v>-184716.52</v>
      </c>
      <c r="N147" t="inlineStr">
        <is>
          <t>Below pace</t>
        </is>
      </c>
    </row>
    <row r="148">
      <c r="A148" t="inlineStr">
        <is>
          <t>Financial Services</t>
        </is>
      </c>
      <c r="B148" t="inlineStr">
        <is>
          <t>Seaholm Tax Increment Financing Fund</t>
        </is>
      </c>
      <c r="C148" s="11" t="n">
        <v>223198</v>
      </c>
      <c r="D148" s="11" t="n">
        <v>225425</v>
      </c>
      <c r="E148" t="n">
        <v>1</v>
      </c>
      <c r="F148" s="12" t="n">
        <v>75</v>
      </c>
      <c r="G148" s="11" t="n">
        <v>167398.5</v>
      </c>
      <c r="H148" s="11" t="n">
        <v>-2227</v>
      </c>
      <c r="I148" s="12" t="n">
        <v>100.9977687972114</v>
      </c>
      <c r="J148" s="11" t="n">
        <v>58026.5</v>
      </c>
      <c r="K148" s="12" t="n">
        <v>25.99776879721145</v>
      </c>
      <c r="L148" s="11" t="n">
        <v>300566.6666666667</v>
      </c>
      <c r="M148" s="11" t="n">
        <v>77368.66666666669</v>
      </c>
      <c r="N148" t="inlineStr">
        <is>
          <t>Above pace</t>
        </is>
      </c>
    </row>
    <row r="149">
      <c r="A149" t="inlineStr">
        <is>
          <t>Austin Convention Center</t>
        </is>
      </c>
      <c r="B149" t="inlineStr">
        <is>
          <t>Convention Center Marketing and Promotion Fund</t>
        </is>
      </c>
      <c r="C149" s="11" t="n">
        <v>208865</v>
      </c>
      <c r="D149" s="11" t="n">
        <v>39750.47</v>
      </c>
      <c r="E149" t="n">
        <v>1</v>
      </c>
      <c r="F149" s="12" t="n">
        <v>75</v>
      </c>
      <c r="G149" s="11" t="n">
        <v>156648.75</v>
      </c>
      <c r="H149" s="11" t="n">
        <v>169114.53</v>
      </c>
      <c r="I149" s="12" t="n">
        <v>19.03165681181624</v>
      </c>
      <c r="J149" s="11" t="n">
        <v>-116898.28</v>
      </c>
      <c r="K149" s="12" t="n">
        <v>-55.96834318818375</v>
      </c>
      <c r="L149" s="11" t="n">
        <v>53000.62666666667</v>
      </c>
      <c r="M149" s="11" t="n">
        <v>-155864.3733333333</v>
      </c>
      <c r="N149" t="inlineStr">
        <is>
          <t>Below pace</t>
        </is>
      </c>
    </row>
    <row r="150">
      <c r="A150" t="inlineStr">
        <is>
          <t>Building Services</t>
        </is>
      </c>
      <c r="B150" t="inlineStr">
        <is>
          <t>One Texas Center Fund</t>
        </is>
      </c>
      <c r="C150" s="11" t="n">
        <v>199770</v>
      </c>
      <c r="D150" s="11" t="n">
        <v>198926.07</v>
      </c>
      <c r="E150" t="n">
        <v>2</v>
      </c>
      <c r="F150" s="12" t="n">
        <v>75</v>
      </c>
      <c r="G150" s="11" t="n">
        <v>149827.5</v>
      </c>
      <c r="H150" s="11" t="n">
        <v>843.929999999993</v>
      </c>
      <c r="I150" s="12" t="n">
        <v>99.57754918155879</v>
      </c>
      <c r="J150" s="11" t="n">
        <v>49098.57000000001</v>
      </c>
      <c r="K150" s="12" t="n">
        <v>24.5775491815588</v>
      </c>
      <c r="L150" s="11" t="n">
        <v>265234.76</v>
      </c>
      <c r="M150" s="11" t="n">
        <v>65464.76000000001</v>
      </c>
      <c r="N150" t="inlineStr">
        <is>
          <t>Above pace</t>
        </is>
      </c>
    </row>
    <row r="151">
      <c r="A151" t="inlineStr">
        <is>
          <t>Emergency Medical Services</t>
        </is>
      </c>
      <c r="B151" t="inlineStr">
        <is>
          <t>EMS Donations Fund</t>
        </is>
      </c>
      <c r="C151" s="11" t="n">
        <v>189377</v>
      </c>
      <c r="D151" s="11" t="n">
        <v>175222.71</v>
      </c>
      <c r="E151" t="n">
        <v>3</v>
      </c>
      <c r="F151" s="12" t="n">
        <v>75</v>
      </c>
      <c r="G151" s="11" t="n">
        <v>142032.75</v>
      </c>
      <c r="H151" s="11" t="n">
        <v>14154.29000000001</v>
      </c>
      <c r="I151" s="12" t="n">
        <v>92.52586639349023</v>
      </c>
      <c r="J151" s="11" t="n">
        <v>33189.95999999999</v>
      </c>
      <c r="K151" s="12" t="n">
        <v>17.52586639349023</v>
      </c>
      <c r="L151" s="11" t="n">
        <v>233630.28</v>
      </c>
      <c r="M151" s="11" t="n">
        <v>44253.28</v>
      </c>
      <c r="N151" t="inlineStr">
        <is>
          <t>Above pace</t>
        </is>
      </c>
    </row>
    <row r="152">
      <c r="A152" t="inlineStr">
        <is>
          <t>Financial Services</t>
        </is>
      </c>
      <c r="B152" t="inlineStr">
        <is>
          <t>East 6th Street Public Improvement District Fund</t>
        </is>
      </c>
      <c r="C152" s="11" t="n">
        <v>174369</v>
      </c>
      <c r="D152" s="11" t="n">
        <v>83394.86</v>
      </c>
      <c r="E152" t="n">
        <v>4</v>
      </c>
      <c r="F152" s="12" t="n">
        <v>75</v>
      </c>
      <c r="G152" s="11" t="n">
        <v>130776.75</v>
      </c>
      <c r="H152" s="11" t="n">
        <v>90974.14</v>
      </c>
      <c r="I152" s="12" t="n">
        <v>47.82665496733938</v>
      </c>
      <c r="J152" s="11" t="n">
        <v>-47381.89</v>
      </c>
      <c r="K152" s="12" t="n">
        <v>-27.17334503266062</v>
      </c>
      <c r="L152" s="11" t="n">
        <v>111193.1466666667</v>
      </c>
      <c r="M152" s="11" t="n">
        <v>-63175.85333333333</v>
      </c>
      <c r="N152" t="inlineStr">
        <is>
          <t>Below pace</t>
        </is>
      </c>
    </row>
    <row r="153">
      <c r="A153" t="inlineStr">
        <is>
          <t>Building Services</t>
        </is>
      </c>
      <c r="B153" t="inlineStr">
        <is>
          <t>Permitting and Development Center Fund</t>
        </is>
      </c>
      <c r="C153" s="11" t="n">
        <v>173368</v>
      </c>
      <c r="D153" s="11" t="n">
        <v>297394.85</v>
      </c>
      <c r="E153" t="n">
        <v>3</v>
      </c>
      <c r="F153" s="12" t="n">
        <v>75</v>
      </c>
      <c r="G153" s="11" t="n">
        <v>130026</v>
      </c>
      <c r="H153" s="11" t="n">
        <v>-124026.85</v>
      </c>
      <c r="I153" s="12" t="n">
        <v>171.539643994278</v>
      </c>
      <c r="J153" s="11" t="n">
        <v>167368.85</v>
      </c>
      <c r="K153" s="12" t="n">
        <v>96.53964399427804</v>
      </c>
      <c r="L153" s="11" t="n">
        <v>396526.4666666666</v>
      </c>
      <c r="M153" s="11" t="n">
        <v>223158.4666666666</v>
      </c>
      <c r="N153" t="inlineStr">
        <is>
          <t>Above pace</t>
        </is>
      </c>
    </row>
    <row r="154">
      <c r="A154" t="inlineStr">
        <is>
          <t>Municipal Court</t>
        </is>
      </c>
      <c r="B154" t="inlineStr">
        <is>
          <t>Special Court Fund</t>
        </is>
      </c>
      <c r="C154" s="11" t="n">
        <v>166035</v>
      </c>
      <c r="D154" s="11" t="n">
        <v>115789.65</v>
      </c>
      <c r="E154" t="n">
        <v>15</v>
      </c>
      <c r="F154" s="12" t="n">
        <v>75</v>
      </c>
      <c r="G154" s="11" t="n">
        <v>124526.25</v>
      </c>
      <c r="H154" s="11" t="n">
        <v>50245.34999999999</v>
      </c>
      <c r="I154" s="12" t="n">
        <v>69.73809738910471</v>
      </c>
      <c r="J154" s="11" t="n">
        <v>-8736.599999999991</v>
      </c>
      <c r="K154" s="12" t="n">
        <v>-5.261902610895291</v>
      </c>
      <c r="L154" s="11" t="n">
        <v>154386.2</v>
      </c>
      <c r="M154" s="11" t="n">
        <v>-11648.79999999999</v>
      </c>
      <c r="N154" t="inlineStr">
        <is>
          <t>Below pace</t>
        </is>
      </c>
    </row>
    <row r="155">
      <c r="A155" t="inlineStr">
        <is>
          <t>Watershed Protection</t>
        </is>
      </c>
      <c r="B155" t="inlineStr">
        <is>
          <t>Waller Creek Tunnel COs</t>
        </is>
      </c>
      <c r="C155" s="11" t="n">
        <v>159033</v>
      </c>
      <c r="D155" s="11" t="n">
        <v>0</v>
      </c>
      <c r="E155" t="n">
        <v>1</v>
      </c>
      <c r="F155" s="12" t="n">
        <v>75</v>
      </c>
      <c r="G155" s="11" t="n">
        <v>119274.75</v>
      </c>
      <c r="H155" s="11" t="n">
        <v>159033</v>
      </c>
      <c r="I155" s="12" t="n">
        <v>0</v>
      </c>
      <c r="J155" s="11" t="n">
        <v>-119274.75</v>
      </c>
      <c r="K155" s="12" t="n">
        <v>-75</v>
      </c>
      <c r="L155" s="11" t="n">
        <v>0</v>
      </c>
      <c r="M155" s="11" t="n">
        <v>-159033</v>
      </c>
      <c r="N155" t="inlineStr">
        <is>
          <t>Below pace</t>
        </is>
      </c>
    </row>
    <row r="156">
      <c r="A156" t="inlineStr">
        <is>
          <t>Austin Public Health</t>
        </is>
      </c>
      <c r="B156" t="inlineStr">
        <is>
          <t>Sustainability Fund</t>
        </is>
      </c>
      <c r="C156" s="11" t="n">
        <v>150000</v>
      </c>
      <c r="D156" s="11" t="n">
        <v>0</v>
      </c>
      <c r="E156" t="n">
        <v>1</v>
      </c>
      <c r="F156" s="12" t="n">
        <v>75</v>
      </c>
      <c r="G156" s="11" t="n">
        <v>112500</v>
      </c>
      <c r="H156" s="11" t="n">
        <v>150000</v>
      </c>
      <c r="I156" s="12" t="n">
        <v>0</v>
      </c>
      <c r="J156" s="11" t="n">
        <v>-112500</v>
      </c>
      <c r="K156" s="12" t="n">
        <v>-75</v>
      </c>
      <c r="L156" s="11" t="n">
        <v>0</v>
      </c>
      <c r="M156" s="11" t="n">
        <v>-150000</v>
      </c>
      <c r="N156" t="inlineStr">
        <is>
          <t>Below pace</t>
        </is>
      </c>
    </row>
    <row r="157">
      <c r="A157" t="inlineStr">
        <is>
          <t>Economic Development</t>
        </is>
      </c>
      <c r="B157" t="inlineStr">
        <is>
          <t>Red River Cultural District</t>
        </is>
      </c>
      <c r="C157" s="11" t="n">
        <v>150000</v>
      </c>
      <c r="D157" s="11" t="n">
        <v>100000</v>
      </c>
      <c r="E157" t="n">
        <v>1</v>
      </c>
      <c r="F157" s="12" t="n">
        <v>75</v>
      </c>
      <c r="G157" s="11" t="n">
        <v>112500</v>
      </c>
      <c r="H157" s="11" t="n">
        <v>50000</v>
      </c>
      <c r="I157" s="12" t="n">
        <v>66.66666666666667</v>
      </c>
      <c r="J157" s="11" t="n">
        <v>-12500</v>
      </c>
      <c r="K157" s="12" t="n">
        <v>-8.333333333333329</v>
      </c>
      <c r="L157" s="11" t="n">
        <v>133333.3333333333</v>
      </c>
      <c r="M157" s="11" t="n">
        <v>-16666.66666666666</v>
      </c>
      <c r="N157" t="inlineStr">
        <is>
          <t>Below pace</t>
        </is>
      </c>
    </row>
    <row r="158">
      <c r="A158" t="inlineStr">
        <is>
          <t>Financial Services</t>
        </is>
      </c>
      <c r="B158" t="inlineStr">
        <is>
          <t>Second Street Tax Increment Financing Fund</t>
        </is>
      </c>
      <c r="C158" s="11" t="n">
        <v>110000</v>
      </c>
      <c r="D158" s="11" t="n">
        <v>30893.7</v>
      </c>
      <c r="E158" t="n">
        <v>4</v>
      </c>
      <c r="F158" s="12" t="n">
        <v>75</v>
      </c>
      <c r="G158" s="11" t="n">
        <v>82500</v>
      </c>
      <c r="H158" s="11" t="n">
        <v>79106.3</v>
      </c>
      <c r="I158" s="12" t="n">
        <v>28.08518181818182</v>
      </c>
      <c r="J158" s="11" t="n">
        <v>-51606.3</v>
      </c>
      <c r="K158" s="12" t="n">
        <v>-46.91481818181818</v>
      </c>
      <c r="L158" s="11" t="n">
        <v>41191.6</v>
      </c>
      <c r="M158" s="11" t="n">
        <v>-68808.39999999999</v>
      </c>
      <c r="N158" t="inlineStr">
        <is>
          <t>Below pace</t>
        </is>
      </c>
    </row>
    <row r="159">
      <c r="A159" t="inlineStr">
        <is>
          <t>Public Works</t>
        </is>
      </c>
      <c r="B159" t="inlineStr">
        <is>
          <t>I-35 Parking Program Fund</t>
        </is>
      </c>
      <c r="C159" s="11" t="n">
        <v>97420</v>
      </c>
      <c r="D159" s="11" t="n">
        <v>97643.10000000001</v>
      </c>
      <c r="E159" t="n">
        <v>2</v>
      </c>
      <c r="F159" s="12" t="n">
        <v>75</v>
      </c>
      <c r="G159" s="11" t="n">
        <v>73065</v>
      </c>
      <c r="H159" s="11" t="n">
        <v>-223.1000000000058</v>
      </c>
      <c r="I159" s="12" t="n">
        <v>100.2290084171628</v>
      </c>
      <c r="J159" s="11" t="n">
        <v>24578.10000000001</v>
      </c>
      <c r="K159" s="12" t="n">
        <v>25.2290084171628</v>
      </c>
      <c r="L159" s="11" t="n">
        <v>130190.8</v>
      </c>
      <c r="M159" s="11" t="n">
        <v>32770.8</v>
      </c>
      <c r="N159" t="inlineStr">
        <is>
          <t>Above pace</t>
        </is>
      </c>
    </row>
    <row r="160">
      <c r="A160" t="inlineStr">
        <is>
          <t>Public Works</t>
        </is>
      </c>
      <c r="B160" t="inlineStr">
        <is>
          <t>GCP-Tpsd General Improvements</t>
        </is>
      </c>
      <c r="C160" s="11" t="n">
        <v>91332</v>
      </c>
      <c r="D160" s="11" t="n">
        <v>91331.41</v>
      </c>
      <c r="E160" t="n">
        <v>1</v>
      </c>
      <c r="F160" s="12" t="n">
        <v>75</v>
      </c>
      <c r="G160" s="11" t="n">
        <v>68499</v>
      </c>
      <c r="H160" s="11" t="n">
        <v>0.5899999999965075</v>
      </c>
      <c r="I160" s="12" t="n">
        <v>99.99935400516796</v>
      </c>
      <c r="J160" s="11" t="n">
        <v>22832.41</v>
      </c>
      <c r="K160" s="12" t="n">
        <v>24.99935400516796</v>
      </c>
      <c r="L160" s="11" t="n">
        <v>121775.2133333333</v>
      </c>
      <c r="M160" s="11" t="n">
        <v>30443.21333333333</v>
      </c>
      <c r="N160" t="inlineStr">
        <is>
          <t>Above pace</t>
        </is>
      </c>
    </row>
    <row r="161">
      <c r="A161" t="inlineStr">
        <is>
          <t>Austin Energy</t>
        </is>
      </c>
      <c r="B161" t="inlineStr">
        <is>
          <t>Better Bldgs Loan Loss Reserve</t>
        </is>
      </c>
      <c r="C161" s="11" t="n">
        <v>50000</v>
      </c>
      <c r="D161" s="11" t="n">
        <v>25037.72</v>
      </c>
      <c r="E161" t="n">
        <v>2</v>
      </c>
      <c r="F161" s="12" t="n">
        <v>75</v>
      </c>
      <c r="G161" s="11" t="n">
        <v>37500</v>
      </c>
      <c r="H161" s="11" t="n">
        <v>24962.28</v>
      </c>
      <c r="I161" s="12" t="n">
        <v>50.07544</v>
      </c>
      <c r="J161" s="11" t="n">
        <v>-12462.28</v>
      </c>
      <c r="K161" s="12" t="n">
        <v>-24.92456</v>
      </c>
      <c r="L161" s="11" t="n">
        <v>33383.62666666667</v>
      </c>
      <c r="M161" s="11" t="n">
        <v>-16616.37333333333</v>
      </c>
      <c r="N161" t="inlineStr">
        <is>
          <t>Below pace</t>
        </is>
      </c>
    </row>
    <row r="162">
      <c r="A162" t="inlineStr">
        <is>
          <t>Police</t>
        </is>
      </c>
      <c r="B162" t="inlineStr">
        <is>
          <t>Auto Theft Interdiction Seizur</t>
        </is>
      </c>
      <c r="C162" s="11" t="n">
        <v>37161</v>
      </c>
      <c r="D162" s="11" t="n">
        <v>0</v>
      </c>
      <c r="E162" t="n">
        <v>3</v>
      </c>
      <c r="F162" s="12" t="n">
        <v>75</v>
      </c>
      <c r="G162" s="11" t="n">
        <v>27870.75</v>
      </c>
      <c r="H162" s="11" t="n">
        <v>37161</v>
      </c>
      <c r="I162" s="12" t="n">
        <v>0</v>
      </c>
      <c r="J162" s="11" t="n">
        <v>-27870.75</v>
      </c>
      <c r="K162" s="12" t="n">
        <v>-75</v>
      </c>
      <c r="L162" s="11" t="n">
        <v>0</v>
      </c>
      <c r="M162" s="11" t="n">
        <v>-37161</v>
      </c>
      <c r="N162" t="inlineStr">
        <is>
          <t>Below pace</t>
        </is>
      </c>
    </row>
    <row r="163">
      <c r="A163" t="inlineStr">
        <is>
          <t>Police</t>
        </is>
      </c>
      <c r="B163" t="inlineStr">
        <is>
          <t>Police State Gambling Asset Forfeiture Fund</t>
        </is>
      </c>
      <c r="C163" s="11" t="n">
        <v>33425</v>
      </c>
      <c r="D163" s="11" t="n">
        <v>32413.87</v>
      </c>
      <c r="E163" t="n">
        <v>6</v>
      </c>
      <c r="F163" s="12" t="n">
        <v>75</v>
      </c>
      <c r="G163" s="11" t="n">
        <v>25068.75</v>
      </c>
      <c r="H163" s="11" t="n">
        <v>1011.130000000001</v>
      </c>
      <c r="I163" s="12" t="n">
        <v>96.97492894540017</v>
      </c>
      <c r="J163" s="11" t="n">
        <v>7345.119999999999</v>
      </c>
      <c r="K163" s="12" t="n">
        <v>21.97492894540015</v>
      </c>
      <c r="L163" s="11" t="n">
        <v>43218.49333333333</v>
      </c>
      <c r="M163" s="11" t="n">
        <v>9793.493333333332</v>
      </c>
      <c r="N163" t="inlineStr">
        <is>
          <t>Above pace</t>
        </is>
      </c>
    </row>
    <row r="164">
      <c r="A164" t="inlineStr">
        <is>
          <t>Austin Public Library</t>
        </is>
      </c>
      <c r="B164" t="inlineStr">
        <is>
          <t>Austin History Center</t>
        </is>
      </c>
      <c r="C164" s="11" t="n">
        <v>30435</v>
      </c>
      <c r="D164" s="11" t="n">
        <v>4209.110000000001</v>
      </c>
      <c r="E164" t="n">
        <v>7</v>
      </c>
      <c r="F164" s="12" t="n">
        <v>75</v>
      </c>
      <c r="G164" s="11" t="n">
        <v>22826.25</v>
      </c>
      <c r="H164" s="11" t="n">
        <v>26225.89</v>
      </c>
      <c r="I164" s="12" t="n">
        <v>13.82983407261377</v>
      </c>
      <c r="J164" s="11" t="n">
        <v>-18617.14</v>
      </c>
      <c r="K164" s="12" t="n">
        <v>-61.17016592738623</v>
      </c>
      <c r="L164" s="11" t="n">
        <v>5612.146666666667</v>
      </c>
      <c r="M164" s="11" t="n">
        <v>-24822.85333333333</v>
      </c>
      <c r="N164" t="inlineStr">
        <is>
          <t>Below pace</t>
        </is>
      </c>
    </row>
    <row r="165">
      <c r="A165" t="inlineStr">
        <is>
          <t>Development Services</t>
        </is>
      </c>
      <c r="B165" t="inlineStr">
        <is>
          <t>Planting For The Future Fund</t>
        </is>
      </c>
      <c r="C165" s="11" t="n">
        <v>30000</v>
      </c>
      <c r="D165" s="11" t="n">
        <v>0</v>
      </c>
      <c r="E165" t="n">
        <v>1</v>
      </c>
      <c r="F165" s="12" t="n">
        <v>75</v>
      </c>
      <c r="G165" s="11" t="n">
        <v>22500</v>
      </c>
      <c r="H165" s="11" t="n">
        <v>30000</v>
      </c>
      <c r="I165" s="12" t="n">
        <v>0</v>
      </c>
      <c r="J165" s="11" t="n">
        <v>-22500</v>
      </c>
      <c r="K165" s="12" t="n">
        <v>-75</v>
      </c>
      <c r="L165" s="11" t="n">
        <v>0</v>
      </c>
      <c r="M165" s="11" t="n">
        <v>-30000</v>
      </c>
      <c r="N165" t="inlineStr">
        <is>
          <t>Below pace</t>
        </is>
      </c>
    </row>
    <row r="166">
      <c r="A166" t="inlineStr">
        <is>
          <t>Austin Transportation</t>
        </is>
      </c>
      <c r="B166" t="inlineStr">
        <is>
          <t>ATD  Transportation CIP</t>
        </is>
      </c>
      <c r="C166" s="11" t="n">
        <v>15700</v>
      </c>
      <c r="D166" s="11" t="n">
        <v>15700</v>
      </c>
      <c r="E166" t="n">
        <v>1</v>
      </c>
      <c r="F166" s="12" t="n">
        <v>75</v>
      </c>
      <c r="G166" s="11" t="n">
        <v>11775</v>
      </c>
      <c r="H166" s="11" t="n">
        <v>0</v>
      </c>
      <c r="I166" s="12" t="n">
        <v>100</v>
      </c>
      <c r="J166" s="11" t="n">
        <v>3925</v>
      </c>
      <c r="K166" s="12" t="n">
        <v>25</v>
      </c>
      <c r="L166" s="11" t="n">
        <v>20933.33333333333</v>
      </c>
      <c r="M166" s="11" t="n">
        <v>5233.333333333332</v>
      </c>
      <c r="N166" t="inlineStr">
        <is>
          <t>Above pace</t>
        </is>
      </c>
    </row>
    <row r="167">
      <c r="A167" t="inlineStr">
        <is>
          <t>Economic Development</t>
        </is>
      </c>
      <c r="B167" t="inlineStr">
        <is>
          <t>Public Art Fund</t>
        </is>
      </c>
      <c r="C167" s="11" t="n">
        <v>15163</v>
      </c>
      <c r="D167" s="11" t="n">
        <v>15163</v>
      </c>
      <c r="E167" t="n">
        <v>1</v>
      </c>
      <c r="F167" s="12" t="n">
        <v>75</v>
      </c>
      <c r="G167" s="11" t="n">
        <v>11372.25</v>
      </c>
      <c r="H167" s="11" t="n">
        <v>0</v>
      </c>
      <c r="I167" s="12" t="n">
        <v>100</v>
      </c>
      <c r="J167" s="11" t="n">
        <v>3790.75</v>
      </c>
      <c r="K167" s="12" t="n">
        <v>25</v>
      </c>
      <c r="L167" s="11" t="n">
        <v>20217.33333333333</v>
      </c>
      <c r="M167" s="11" t="n">
        <v>5054.333333333332</v>
      </c>
      <c r="N167" t="inlineStr">
        <is>
          <t>Above pace</t>
        </is>
      </c>
    </row>
    <row r="168">
      <c r="A168" t="inlineStr">
        <is>
          <t>Fire</t>
        </is>
      </c>
      <c r="B168" t="inlineStr">
        <is>
          <t>Fire Miscellaneous</t>
        </is>
      </c>
      <c r="C168" s="11" t="n">
        <v>7000</v>
      </c>
      <c r="D168" s="11" t="n">
        <v>0</v>
      </c>
      <c r="E168" t="n">
        <v>2</v>
      </c>
      <c r="F168" s="12" t="n">
        <v>75</v>
      </c>
      <c r="G168" s="11" t="n">
        <v>5250</v>
      </c>
      <c r="H168" s="11" t="n">
        <v>7000</v>
      </c>
      <c r="I168" s="12" t="n">
        <v>0</v>
      </c>
      <c r="J168" s="11" t="n">
        <v>-5250</v>
      </c>
      <c r="K168" s="12" t="n">
        <v>-75</v>
      </c>
      <c r="L168" s="11" t="n">
        <v>0</v>
      </c>
      <c r="M168" s="11" t="n">
        <v>-7000</v>
      </c>
      <c r="N168" t="inlineStr">
        <is>
          <t>Below pace</t>
        </is>
      </c>
    </row>
    <row r="169">
      <c r="A169" t="inlineStr">
        <is>
          <t>Austin Resource Recovery</t>
        </is>
      </c>
      <c r="B169" t="inlineStr">
        <is>
          <t>ARR-Austin Resource Recovery Cip</t>
        </is>
      </c>
      <c r="C169" s="11" t="n">
        <v>0</v>
      </c>
      <c r="D169" s="11" t="n">
        <v>0</v>
      </c>
      <c r="E169" t="n">
        <v>11</v>
      </c>
      <c r="F169" s="12" t="n">
        <v>75</v>
      </c>
      <c r="G169" s="11" t="n">
        <v>0</v>
      </c>
      <c r="H169" s="11" t="n">
        <v>0</v>
      </c>
      <c r="I169" s="12" t="n"/>
      <c r="J169" s="11" t="n">
        <v>0</v>
      </c>
      <c r="K169" s="12" t="n"/>
      <c r="L169" s="11" t="n">
        <v>0</v>
      </c>
      <c r="M169" s="11" t="n">
        <v>0</v>
      </c>
      <c r="N169" t="inlineStr">
        <is>
          <t>Review: non-positive budget</t>
        </is>
      </c>
    </row>
    <row r="170">
      <c r="A170" t="inlineStr">
        <is>
          <t>Austin Public Library</t>
        </is>
      </c>
      <c r="B170" t="inlineStr">
        <is>
          <t>General Fund Budget Stabilization Reserve Fund</t>
        </is>
      </c>
      <c r="C170" s="11" t="n">
        <v>0</v>
      </c>
      <c r="D170" s="11" t="n">
        <v>0</v>
      </c>
      <c r="E170" t="n">
        <v>2</v>
      </c>
      <c r="F170" s="12" t="n">
        <v>75</v>
      </c>
      <c r="G170" s="11" t="n">
        <v>0</v>
      </c>
      <c r="H170" s="11" t="n">
        <v>0</v>
      </c>
      <c r="I170" s="12" t="n"/>
      <c r="J170" s="11" t="n">
        <v>0</v>
      </c>
      <c r="K170" s="12" t="n"/>
      <c r="L170" s="11" t="n">
        <v>0</v>
      </c>
      <c r="M170" s="11" t="n">
        <v>0</v>
      </c>
      <c r="N170" t="inlineStr">
        <is>
          <t>Review: non-positive budget</t>
        </is>
      </c>
    </row>
    <row r="171">
      <c r="A171" t="inlineStr">
        <is>
          <t>Austin Public Library</t>
        </is>
      </c>
      <c r="B171" t="inlineStr">
        <is>
          <t>Friends of APL</t>
        </is>
      </c>
      <c r="C171" s="11" t="n">
        <v>0</v>
      </c>
      <c r="D171" s="11" t="n">
        <v>0</v>
      </c>
      <c r="E171" t="n">
        <v>4</v>
      </c>
      <c r="F171" s="12" t="n">
        <v>75</v>
      </c>
      <c r="G171" s="11" t="n">
        <v>0</v>
      </c>
      <c r="H171" s="11" t="n">
        <v>0</v>
      </c>
      <c r="I171" s="12" t="n"/>
      <c r="J171" s="11" t="n">
        <v>0</v>
      </c>
      <c r="K171" s="12" t="n"/>
      <c r="L171" s="11" t="n">
        <v>0</v>
      </c>
      <c r="M171" s="11" t="n">
        <v>0</v>
      </c>
      <c r="N171" t="inlineStr">
        <is>
          <t>Review: non-positive budget</t>
        </is>
      </c>
    </row>
    <row r="172">
      <c r="A172" t="inlineStr">
        <is>
          <t>Animal Services</t>
        </is>
      </c>
      <c r="B172" t="inlineStr">
        <is>
          <t>General Fund Budget Stabilization Reserve Fund</t>
        </is>
      </c>
      <c r="C172" s="11" t="n">
        <v>0</v>
      </c>
      <c r="D172" s="11" t="n">
        <v>0</v>
      </c>
      <c r="E172" t="n">
        <v>1</v>
      </c>
      <c r="F172" s="12" t="n">
        <v>75</v>
      </c>
      <c r="G172" s="11" t="n">
        <v>0</v>
      </c>
      <c r="H172" s="11" t="n">
        <v>0</v>
      </c>
      <c r="I172" s="12" t="n"/>
      <c r="J172" s="11" t="n">
        <v>0</v>
      </c>
      <c r="K172" s="12" t="n"/>
      <c r="L172" s="11" t="n">
        <v>0</v>
      </c>
      <c r="M172" s="11" t="n">
        <v>0</v>
      </c>
      <c r="N172" t="inlineStr">
        <is>
          <t>Review: non-positive budget</t>
        </is>
      </c>
    </row>
    <row r="173">
      <c r="A173" t="inlineStr">
        <is>
          <t>Communications &amp; Technology Management</t>
        </is>
      </c>
      <c r="B173" t="inlineStr">
        <is>
          <t>Radio Inventory</t>
        </is>
      </c>
      <c r="C173" s="11" t="n">
        <v>0</v>
      </c>
      <c r="D173" s="11" t="n">
        <v>15071.8</v>
      </c>
      <c r="E173" t="n">
        <v>1</v>
      </c>
      <c r="F173" s="12" t="n">
        <v>75</v>
      </c>
      <c r="G173" s="11" t="n">
        <v>0</v>
      </c>
      <c r="H173" s="11" t="n">
        <v>-15071.8</v>
      </c>
      <c r="I173" s="12" t="n"/>
      <c r="J173" s="11" t="n">
        <v>15071.8</v>
      </c>
      <c r="K173" s="12" t="n"/>
      <c r="L173" s="11" t="n">
        <v>20095.73333333333</v>
      </c>
      <c r="M173" s="11" t="n">
        <v>20095.73333333333</v>
      </c>
      <c r="N173" t="inlineStr">
        <is>
          <t>Review: spend without budget</t>
        </is>
      </c>
    </row>
    <row r="174">
      <c r="A174" t="inlineStr">
        <is>
          <t>Development Services</t>
        </is>
      </c>
      <c r="B174" t="inlineStr">
        <is>
          <t>Urban Forest Replenishment Fund</t>
        </is>
      </c>
      <c r="C174" s="11" t="n">
        <v>0</v>
      </c>
      <c r="D174" s="11" t="n">
        <v>-4596.62</v>
      </c>
      <c r="E174" t="n">
        <v>12</v>
      </c>
      <c r="F174" s="12" t="n">
        <v>75</v>
      </c>
      <c r="G174" s="11" t="n">
        <v>0</v>
      </c>
      <c r="H174" s="11" t="n">
        <v>4596.62</v>
      </c>
      <c r="I174" s="12" t="n"/>
      <c r="J174" s="11" t="n">
        <v>-4596.62</v>
      </c>
      <c r="K174" s="12" t="n"/>
      <c r="L174" s="11" t="n">
        <v>-6128.826666666667</v>
      </c>
      <c r="M174" s="11" t="n">
        <v>-6128.826666666667</v>
      </c>
      <c r="N174" t="inlineStr">
        <is>
          <t>Review: non-positive budget</t>
        </is>
      </c>
    </row>
    <row r="175">
      <c r="A175" t="inlineStr">
        <is>
          <t>Economic Development</t>
        </is>
      </c>
      <c r="B175" t="inlineStr">
        <is>
          <t>Childcare Assistance Reserve Fund</t>
        </is>
      </c>
      <c r="C175" s="11" t="n">
        <v>0</v>
      </c>
      <c r="D175" s="11" t="n">
        <v>0</v>
      </c>
      <c r="E175" t="n">
        <v>1</v>
      </c>
      <c r="F175" s="12" t="n">
        <v>75</v>
      </c>
      <c r="G175" s="11" t="n">
        <v>0</v>
      </c>
      <c r="H175" s="11" t="n">
        <v>0</v>
      </c>
      <c r="I175" s="12" t="n"/>
      <c r="J175" s="11" t="n">
        <v>0</v>
      </c>
      <c r="K175" s="12" t="n"/>
      <c r="L175" s="11" t="n">
        <v>0</v>
      </c>
      <c r="M175" s="11" t="n">
        <v>0</v>
      </c>
      <c r="N175" t="inlineStr">
        <is>
          <t>Review: non-positive budget</t>
        </is>
      </c>
    </row>
    <row r="176">
      <c r="A176" t="inlineStr">
        <is>
          <t>Economic Development</t>
        </is>
      </c>
      <c r="B176" t="inlineStr">
        <is>
          <t>Cultural Arts Fund</t>
        </is>
      </c>
      <c r="C176" s="11" t="n">
        <v>0</v>
      </c>
      <c r="D176" s="11" t="n">
        <v>0</v>
      </c>
      <c r="E176" t="n">
        <v>13</v>
      </c>
      <c r="F176" s="12" t="n">
        <v>75</v>
      </c>
      <c r="G176" s="11" t="n">
        <v>0</v>
      </c>
      <c r="H176" s="11" t="n">
        <v>0</v>
      </c>
      <c r="I176" s="12" t="n"/>
      <c r="J176" s="11" t="n">
        <v>0</v>
      </c>
      <c r="K176" s="12" t="n"/>
      <c r="L176" s="11" t="n">
        <v>0</v>
      </c>
      <c r="M176" s="11" t="n">
        <v>0</v>
      </c>
      <c r="N176" t="inlineStr">
        <is>
          <t>Review: non-positive budget</t>
        </is>
      </c>
    </row>
    <row r="177">
      <c r="A177" t="inlineStr">
        <is>
          <t>Communications &amp; Public Information</t>
        </is>
      </c>
      <c r="B177" t="inlineStr">
        <is>
          <t>Support Services Fund</t>
        </is>
      </c>
      <c r="C177" s="11" t="n">
        <v>0</v>
      </c>
      <c r="D177" s="11" t="n">
        <v>0</v>
      </c>
      <c r="E177" t="n">
        <v>306</v>
      </c>
      <c r="F177" s="12" t="n">
        <v>75</v>
      </c>
      <c r="G177" s="11" t="n">
        <v>0</v>
      </c>
      <c r="H177" s="11" t="n">
        <v>0</v>
      </c>
      <c r="I177" s="12" t="n"/>
      <c r="J177" s="11" t="n">
        <v>0</v>
      </c>
      <c r="K177" s="12" t="n"/>
      <c r="L177" s="11" t="n">
        <v>0</v>
      </c>
      <c r="M177" s="11" t="n">
        <v>0</v>
      </c>
      <c r="N177" t="inlineStr">
        <is>
          <t>Review: non-positive budget</t>
        </is>
      </c>
    </row>
    <row r="178">
      <c r="A178" t="inlineStr">
        <is>
          <t>Aviation</t>
        </is>
      </c>
      <c r="B178" t="inlineStr">
        <is>
          <t>Mueller Airport Disposition Fd</t>
        </is>
      </c>
      <c r="C178" s="11" t="n">
        <v>0</v>
      </c>
      <c r="D178" s="11" t="n">
        <v>6460.16</v>
      </c>
      <c r="E178" t="n">
        <v>1</v>
      </c>
      <c r="F178" s="12" t="n">
        <v>75</v>
      </c>
      <c r="G178" s="11" t="n">
        <v>0</v>
      </c>
      <c r="H178" s="11" t="n">
        <v>-6460.16</v>
      </c>
      <c r="I178" s="12" t="n"/>
      <c r="J178" s="11" t="n">
        <v>6460.16</v>
      </c>
      <c r="K178" s="12" t="n"/>
      <c r="L178" s="11" t="n">
        <v>8613.546666666667</v>
      </c>
      <c r="M178" s="11" t="n">
        <v>8613.546666666667</v>
      </c>
      <c r="N178" t="inlineStr">
        <is>
          <t>Review: spend without budget</t>
        </is>
      </c>
    </row>
    <row r="179">
      <c r="A179" t="inlineStr">
        <is>
          <t>Communications &amp; Public Information</t>
        </is>
      </c>
      <c r="B179" t="inlineStr">
        <is>
          <t>General Fund Budget Stabilization Reserve Fund</t>
        </is>
      </c>
      <c r="C179" s="11" t="n">
        <v>0</v>
      </c>
      <c r="D179" s="11" t="n">
        <v>0</v>
      </c>
      <c r="E179" t="n">
        <v>6</v>
      </c>
      <c r="F179" s="12" t="n">
        <v>75</v>
      </c>
      <c r="G179" s="11" t="n">
        <v>0</v>
      </c>
      <c r="H179" s="11" t="n">
        <v>0</v>
      </c>
      <c r="I179" s="12" t="n"/>
      <c r="J179" s="11" t="n">
        <v>0</v>
      </c>
      <c r="K179" s="12" t="n"/>
      <c r="L179" s="11" t="n">
        <v>0</v>
      </c>
      <c r="M179" s="11" t="n">
        <v>0</v>
      </c>
      <c r="N179" t="inlineStr">
        <is>
          <t>Review: non-positive budget</t>
        </is>
      </c>
    </row>
    <row r="180">
      <c r="A180" t="inlineStr">
        <is>
          <t>Austin Public Health</t>
        </is>
      </c>
      <c r="B180" t="inlineStr">
        <is>
          <t>General Fund Budget Stabilization Reserve Fund</t>
        </is>
      </c>
      <c r="C180" s="11" t="n">
        <v>0</v>
      </c>
      <c r="D180" s="11" t="n">
        <v>0</v>
      </c>
      <c r="E180" t="n">
        <v>3</v>
      </c>
      <c r="F180" s="12" t="n">
        <v>75</v>
      </c>
      <c r="G180" s="11" t="n">
        <v>0</v>
      </c>
      <c r="H180" s="11" t="n">
        <v>0</v>
      </c>
      <c r="I180" s="12" t="n"/>
      <c r="J180" s="11" t="n">
        <v>0</v>
      </c>
      <c r="K180" s="12" t="n"/>
      <c r="L180" s="11" t="n">
        <v>0</v>
      </c>
      <c r="M180" s="11" t="n">
        <v>0</v>
      </c>
      <c r="N180" t="inlineStr">
        <is>
          <t>Review: non-positive budget</t>
        </is>
      </c>
    </row>
    <row r="181">
      <c r="A181" t="inlineStr">
        <is>
          <t>Austin Energy</t>
        </is>
      </c>
      <c r="B181" t="inlineStr">
        <is>
          <t>Science Fest</t>
        </is>
      </c>
      <c r="C181" s="11" t="n">
        <v>0</v>
      </c>
      <c r="D181" s="11" t="n">
        <v>0</v>
      </c>
      <c r="E181" t="n">
        <v>6</v>
      </c>
      <c r="F181" s="12" t="n">
        <v>75</v>
      </c>
      <c r="G181" s="11" t="n">
        <v>0</v>
      </c>
      <c r="H181" s="11" t="n">
        <v>0</v>
      </c>
      <c r="I181" s="12" t="n"/>
      <c r="J181" s="11" t="n">
        <v>0</v>
      </c>
      <c r="K181" s="12" t="n"/>
      <c r="L181" s="11" t="n">
        <v>0</v>
      </c>
      <c r="M181" s="11" t="n">
        <v>0</v>
      </c>
      <c r="N181" t="inlineStr">
        <is>
          <t>Review: non-positive budget</t>
        </is>
      </c>
    </row>
    <row r="182">
      <c r="A182" t="inlineStr">
        <is>
          <t>Austin Transportation</t>
        </is>
      </c>
      <c r="B182" t="inlineStr">
        <is>
          <t>Transportation Inventory Fund</t>
        </is>
      </c>
      <c r="C182" s="11" t="n">
        <v>0</v>
      </c>
      <c r="D182" s="11" t="n">
        <v>-1554735.03</v>
      </c>
      <c r="E182" t="n">
        <v>1</v>
      </c>
      <c r="F182" s="12" t="n">
        <v>75</v>
      </c>
      <c r="G182" s="11" t="n">
        <v>0</v>
      </c>
      <c r="H182" s="11" t="n">
        <v>1554735.03</v>
      </c>
      <c r="I182" s="12" t="n"/>
      <c r="J182" s="11" t="n">
        <v>-1554735.03</v>
      </c>
      <c r="K182" s="12" t="n"/>
      <c r="L182" s="11" t="n">
        <v>-2072980.04</v>
      </c>
      <c r="M182" s="11" t="n">
        <v>-2072980.04</v>
      </c>
      <c r="N182" t="inlineStr">
        <is>
          <t>Review: non-positive budget</t>
        </is>
      </c>
    </row>
    <row r="183">
      <c r="A183" t="inlineStr">
        <is>
          <t>Austin Water</t>
        </is>
      </c>
      <c r="B183" t="inlineStr">
        <is>
          <t>Water Inventory Fund</t>
        </is>
      </c>
      <c r="C183" s="11" t="n">
        <v>0</v>
      </c>
      <c r="D183" s="11" t="n">
        <v>-230208</v>
      </c>
      <c r="E183" t="n">
        <v>2</v>
      </c>
      <c r="F183" s="12" t="n">
        <v>75</v>
      </c>
      <c r="G183" s="11" t="n">
        <v>0</v>
      </c>
      <c r="H183" s="11" t="n">
        <v>230208</v>
      </c>
      <c r="I183" s="12" t="n"/>
      <c r="J183" s="11" t="n">
        <v>-230208</v>
      </c>
      <c r="K183" s="12" t="n"/>
      <c r="L183" s="11" t="n">
        <v>-306944</v>
      </c>
      <c r="M183" s="11" t="n">
        <v>-306944</v>
      </c>
      <c r="N183" t="inlineStr">
        <is>
          <t>Review: non-positive budget</t>
        </is>
      </c>
    </row>
    <row r="184">
      <c r="A184" t="inlineStr">
        <is>
          <t>Aviation</t>
        </is>
      </c>
      <c r="B184" t="inlineStr">
        <is>
          <t>ABIA Improvements</t>
        </is>
      </c>
      <c r="C184" s="11" t="n">
        <v>0</v>
      </c>
      <c r="D184" s="11" t="n">
        <v>0</v>
      </c>
      <c r="E184" t="n">
        <v>1</v>
      </c>
      <c r="F184" s="12" t="n">
        <v>75</v>
      </c>
      <c r="G184" s="11" t="n">
        <v>0</v>
      </c>
      <c r="H184" s="11" t="n">
        <v>0</v>
      </c>
      <c r="I184" s="12" t="n"/>
      <c r="J184" s="11" t="n">
        <v>0</v>
      </c>
      <c r="K184" s="12" t="n"/>
      <c r="L184" s="11" t="n">
        <v>0</v>
      </c>
      <c r="M184" s="11" t="n">
        <v>0</v>
      </c>
      <c r="N184" t="inlineStr">
        <is>
          <t>Review: non-positive budget</t>
        </is>
      </c>
    </row>
    <row r="185">
      <c r="A185" t="inlineStr">
        <is>
          <t>Economic Development</t>
        </is>
      </c>
      <c r="B185" t="inlineStr">
        <is>
          <t>Live Music Fund</t>
        </is>
      </c>
      <c r="C185" s="11" t="n">
        <v>0</v>
      </c>
      <c r="D185" s="11" t="n">
        <v>0</v>
      </c>
      <c r="E185" t="n">
        <v>3</v>
      </c>
      <c r="F185" s="12" t="n">
        <v>75</v>
      </c>
      <c r="G185" s="11" t="n">
        <v>0</v>
      </c>
      <c r="H185" s="11" t="n">
        <v>0</v>
      </c>
      <c r="I185" s="12" t="n"/>
      <c r="J185" s="11" t="n">
        <v>0</v>
      </c>
      <c r="K185" s="12" t="n"/>
      <c r="L185" s="11" t="n">
        <v>0</v>
      </c>
      <c r="M185" s="11" t="n">
        <v>0</v>
      </c>
      <c r="N185" t="inlineStr">
        <is>
          <t>Review: non-positive budget</t>
        </is>
      </c>
    </row>
    <row r="186">
      <c r="A186" t="inlineStr">
        <is>
          <t>Economic Development</t>
        </is>
      </c>
      <c r="B186" t="inlineStr">
        <is>
          <t>Iconic Venue Fund</t>
        </is>
      </c>
      <c r="C186" s="11" t="n">
        <v>0</v>
      </c>
      <c r="D186" s="11" t="n">
        <v>0</v>
      </c>
      <c r="E186" t="n">
        <v>2</v>
      </c>
      <c r="F186" s="12" t="n">
        <v>75</v>
      </c>
      <c r="G186" s="11" t="n">
        <v>0</v>
      </c>
      <c r="H186" s="11" t="n">
        <v>0</v>
      </c>
      <c r="I186" s="12" t="n"/>
      <c r="J186" s="11" t="n">
        <v>0</v>
      </c>
      <c r="K186" s="12" t="n"/>
      <c r="L186" s="11" t="n">
        <v>0</v>
      </c>
      <c r="M186" s="11" t="n">
        <v>0</v>
      </c>
      <c r="N186" t="inlineStr">
        <is>
          <t>Review: non-positive budget</t>
        </is>
      </c>
    </row>
    <row r="187">
      <c r="A187" t="inlineStr">
        <is>
          <t>Economic Development</t>
        </is>
      </c>
      <c r="B187" t="inlineStr">
        <is>
          <t>General Fund Budget Stabilization Reserve Fund</t>
        </is>
      </c>
      <c r="C187" s="11" t="n">
        <v>0</v>
      </c>
      <c r="D187" s="11" t="n">
        <v>0</v>
      </c>
      <c r="E187" t="n">
        <v>1</v>
      </c>
      <c r="F187" s="12" t="n">
        <v>75</v>
      </c>
      <c r="G187" s="11" t="n">
        <v>0</v>
      </c>
      <c r="H187" s="11" t="n">
        <v>0</v>
      </c>
      <c r="I187" s="12" t="n"/>
      <c r="J187" s="11" t="n">
        <v>0</v>
      </c>
      <c r="K187" s="12" t="n"/>
      <c r="L187" s="11" t="n">
        <v>0</v>
      </c>
      <c r="M187" s="11" t="n">
        <v>0</v>
      </c>
      <c r="N187" t="inlineStr">
        <is>
          <t>Review: non-positive budget</t>
        </is>
      </c>
    </row>
    <row r="188">
      <c r="A188" t="inlineStr">
        <is>
          <t>Economic Development</t>
        </is>
      </c>
      <c r="B188" t="inlineStr">
        <is>
          <t>GCP-General Govt Proj</t>
        </is>
      </c>
      <c r="C188" s="11" t="n">
        <v>0</v>
      </c>
      <c r="D188" s="11" t="n">
        <v>0</v>
      </c>
      <c r="E188" t="n">
        <v>1</v>
      </c>
      <c r="F188" s="12" t="n">
        <v>75</v>
      </c>
      <c r="G188" s="11" t="n">
        <v>0</v>
      </c>
      <c r="H188" s="11" t="n">
        <v>0</v>
      </c>
      <c r="I188" s="12" t="n"/>
      <c r="J188" s="11" t="n">
        <v>0</v>
      </c>
      <c r="K188" s="12" t="n"/>
      <c r="L188" s="11" t="n">
        <v>0</v>
      </c>
      <c r="M188" s="11" t="n">
        <v>0</v>
      </c>
      <c r="N188" t="inlineStr">
        <is>
          <t>Review: non-positive budget</t>
        </is>
      </c>
    </row>
    <row r="189">
      <c r="A189" t="inlineStr">
        <is>
          <t>Homeless Strategy Office</t>
        </is>
      </c>
      <c r="B189" t="inlineStr">
        <is>
          <t>General Fund Budget Stabilization Reserve Fund</t>
        </is>
      </c>
      <c r="C189" s="11" t="n">
        <v>0</v>
      </c>
      <c r="D189" s="11" t="n">
        <v>0</v>
      </c>
      <c r="E189" t="n">
        <v>1</v>
      </c>
      <c r="F189" s="12" t="n">
        <v>75</v>
      </c>
      <c r="G189" s="11" t="n">
        <v>0</v>
      </c>
      <c r="H189" s="11" t="n">
        <v>0</v>
      </c>
      <c r="I189" s="12" t="n"/>
      <c r="J189" s="11" t="n">
        <v>0</v>
      </c>
      <c r="K189" s="12" t="n"/>
      <c r="L189" s="11" t="n">
        <v>0</v>
      </c>
      <c r="M189" s="11" t="n">
        <v>0</v>
      </c>
      <c r="N189" t="inlineStr">
        <is>
          <t>Review: non-positive budget</t>
        </is>
      </c>
    </row>
    <row r="190">
      <c r="A190" t="inlineStr">
        <is>
          <t>Human Resources</t>
        </is>
      </c>
      <c r="B190" t="inlineStr">
        <is>
          <t>General Fund Budget Stabilization Reserve Fund</t>
        </is>
      </c>
      <c r="C190" s="11" t="n">
        <v>0</v>
      </c>
      <c r="D190" s="11" t="n">
        <v>0</v>
      </c>
      <c r="E190" t="n">
        <v>1</v>
      </c>
      <c r="F190" s="12" t="n">
        <v>75</v>
      </c>
      <c r="G190" s="11" t="n">
        <v>0</v>
      </c>
      <c r="H190" s="11" t="n">
        <v>0</v>
      </c>
      <c r="I190" s="12" t="n"/>
      <c r="J190" s="11" t="n">
        <v>0</v>
      </c>
      <c r="K190" s="12" t="n"/>
      <c r="L190" s="11" t="n">
        <v>0</v>
      </c>
      <c r="M190" s="11" t="n">
        <v>0</v>
      </c>
      <c r="N190" t="inlineStr">
        <is>
          <t>Review: non-positive budget</t>
        </is>
      </c>
    </row>
    <row r="191">
      <c r="A191" t="inlineStr">
        <is>
          <t>Fleet Services</t>
        </is>
      </c>
      <c r="B191" t="inlineStr">
        <is>
          <t>General Svc Inventories</t>
        </is>
      </c>
      <c r="C191" s="11" t="n">
        <v>0</v>
      </c>
      <c r="D191" s="11" t="n">
        <v>2611881.27</v>
      </c>
      <c r="E191" t="n">
        <v>10</v>
      </c>
      <c r="F191" s="12" t="n">
        <v>75</v>
      </c>
      <c r="G191" s="11" t="n">
        <v>0</v>
      </c>
      <c r="H191" s="11" t="n">
        <v>-2611881.27</v>
      </c>
      <c r="I191" s="12" t="n"/>
      <c r="J191" s="11" t="n">
        <v>2611881.27</v>
      </c>
      <c r="K191" s="12" t="n"/>
      <c r="L191" s="11" t="n">
        <v>3482508.36</v>
      </c>
      <c r="M191" s="11" t="n">
        <v>3482508.36</v>
      </c>
      <c r="N191" t="inlineStr">
        <is>
          <t>Review: spend without budget</t>
        </is>
      </c>
    </row>
    <row r="192">
      <c r="A192" t="inlineStr">
        <is>
          <t>Forensic Science</t>
        </is>
      </c>
      <c r="B192" t="inlineStr">
        <is>
          <t>General Fund Budget Stabilization Reserve Fund</t>
        </is>
      </c>
      <c r="C192" s="11" t="n">
        <v>0</v>
      </c>
      <c r="D192" s="11" t="n">
        <v>0</v>
      </c>
      <c r="E192" t="n">
        <v>1</v>
      </c>
      <c r="F192" s="12" t="n">
        <v>75</v>
      </c>
      <c r="G192" s="11" t="n">
        <v>0</v>
      </c>
      <c r="H192" s="11" t="n">
        <v>0</v>
      </c>
      <c r="I192" s="12" t="n"/>
      <c r="J192" s="11" t="n">
        <v>0</v>
      </c>
      <c r="K192" s="12" t="n"/>
      <c r="L192" s="11" t="n">
        <v>0</v>
      </c>
      <c r="M192" s="11" t="n">
        <v>0</v>
      </c>
      <c r="N192" t="inlineStr">
        <is>
          <t>Review: non-positive budget</t>
        </is>
      </c>
    </row>
    <row r="193">
      <c r="A193" t="inlineStr">
        <is>
          <t>Financial Services</t>
        </is>
      </c>
      <c r="B193" t="inlineStr">
        <is>
          <t>Unclaimed Property</t>
        </is>
      </c>
      <c r="C193" s="11" t="n">
        <v>0</v>
      </c>
      <c r="D193" s="11" t="n">
        <v>855.77</v>
      </c>
      <c r="E193" t="n">
        <v>2</v>
      </c>
      <c r="F193" s="12" t="n">
        <v>75</v>
      </c>
      <c r="G193" s="11" t="n">
        <v>0</v>
      </c>
      <c r="H193" s="11" t="n">
        <v>-855.77</v>
      </c>
      <c r="I193" s="12" t="n"/>
      <c r="J193" s="11" t="n">
        <v>855.77</v>
      </c>
      <c r="K193" s="12" t="n"/>
      <c r="L193" s="11" t="n">
        <v>1141.026666666667</v>
      </c>
      <c r="M193" s="11" t="n">
        <v>1141.026666666667</v>
      </c>
      <c r="N193" t="inlineStr">
        <is>
          <t>Review: spend without budget</t>
        </is>
      </c>
    </row>
    <row r="194">
      <c r="A194" t="inlineStr">
        <is>
          <t>Enterprise Debt Service</t>
        </is>
      </c>
      <c r="B194" t="inlineStr">
        <is>
          <t>Convention Center Capitalized Interest Fund</t>
        </is>
      </c>
      <c r="C194" s="11" t="n">
        <v>0</v>
      </c>
      <c r="D194" s="11" t="n">
        <v>0</v>
      </c>
      <c r="E194" t="n">
        <v>1</v>
      </c>
      <c r="F194" s="12" t="n">
        <v>75</v>
      </c>
      <c r="G194" s="11" t="n">
        <v>0</v>
      </c>
      <c r="H194" s="11" t="n">
        <v>0</v>
      </c>
      <c r="I194" s="12" t="n"/>
      <c r="J194" s="11" t="n">
        <v>0</v>
      </c>
      <c r="K194" s="12" t="n"/>
      <c r="L194" s="11" t="n">
        <v>0</v>
      </c>
      <c r="M194" s="11" t="n">
        <v>0</v>
      </c>
      <c r="N194" t="inlineStr">
        <is>
          <t>Review: non-positive budget</t>
        </is>
      </c>
    </row>
    <row r="195">
      <c r="A195" t="inlineStr">
        <is>
          <t>Emergency Medical Services</t>
        </is>
      </c>
      <c r="B195" t="inlineStr">
        <is>
          <t>General Fund Budget Stabilization Reserve Fund</t>
        </is>
      </c>
      <c r="C195" s="11" t="n">
        <v>0</v>
      </c>
      <c r="D195" s="11" t="n">
        <v>0</v>
      </c>
      <c r="E195" t="n">
        <v>11</v>
      </c>
      <c r="F195" s="12" t="n">
        <v>75</v>
      </c>
      <c r="G195" s="11" t="n">
        <v>0</v>
      </c>
      <c r="H195" s="11" t="n">
        <v>0</v>
      </c>
      <c r="I195" s="12" t="n"/>
      <c r="J195" s="11" t="n">
        <v>0</v>
      </c>
      <c r="K195" s="12" t="n"/>
      <c r="L195" s="11" t="n">
        <v>0</v>
      </c>
      <c r="M195" s="11" t="n">
        <v>0</v>
      </c>
      <c r="N195" t="inlineStr">
        <is>
          <t>Review: non-positive budget</t>
        </is>
      </c>
    </row>
    <row r="196">
      <c r="A196" t="inlineStr">
        <is>
          <t>Enterprise Debt Service</t>
        </is>
      </c>
      <c r="B196" t="inlineStr">
        <is>
          <t>Convention Center Expansion Junior Lien Debt Service Fund</t>
        </is>
      </c>
      <c r="C196" s="11" t="n">
        <v>0</v>
      </c>
      <c r="D196" s="11" t="n">
        <v>0</v>
      </c>
      <c r="E196" t="n">
        <v>2</v>
      </c>
      <c r="F196" s="12" t="n">
        <v>75</v>
      </c>
      <c r="G196" s="11" t="n">
        <v>0</v>
      </c>
      <c r="H196" s="11" t="n">
        <v>0</v>
      </c>
      <c r="I196" s="12" t="n"/>
      <c r="J196" s="11" t="n">
        <v>0</v>
      </c>
      <c r="K196" s="12" t="n"/>
      <c r="L196" s="11" t="n">
        <v>0</v>
      </c>
      <c r="M196" s="11" t="n">
        <v>0</v>
      </c>
      <c r="N196" t="inlineStr">
        <is>
          <t>Review: non-positive budget</t>
        </is>
      </c>
    </row>
    <row r="197">
      <c r="A197" t="inlineStr">
        <is>
          <t>Financial Services</t>
        </is>
      </c>
      <c r="B197" t="inlineStr">
        <is>
          <t>General Fund Budget Stabilization Reserve Fund</t>
        </is>
      </c>
      <c r="C197" s="11" t="n">
        <v>0</v>
      </c>
      <c r="D197" s="11" t="n">
        <v>0</v>
      </c>
      <c r="E197" t="n">
        <v>1</v>
      </c>
      <c r="F197" s="12" t="n">
        <v>75</v>
      </c>
      <c r="G197" s="11" t="n">
        <v>0</v>
      </c>
      <c r="H197" s="11" t="n">
        <v>0</v>
      </c>
      <c r="I197" s="12" t="n"/>
      <c r="J197" s="11" t="n">
        <v>0</v>
      </c>
      <c r="K197" s="12" t="n"/>
      <c r="L197" s="11" t="n">
        <v>0</v>
      </c>
      <c r="M197" s="11" t="n">
        <v>0</v>
      </c>
      <c r="N197" t="inlineStr">
        <is>
          <t>Review: non-positive budget</t>
        </is>
      </c>
    </row>
    <row r="198">
      <c r="A198" t="inlineStr">
        <is>
          <t>Enterprise Debt Service</t>
        </is>
      </c>
      <c r="B198" t="inlineStr">
        <is>
          <t>Utility Debt Service Fund-Subordinate Lien</t>
        </is>
      </c>
      <c r="C198" s="11" t="n">
        <v>0</v>
      </c>
      <c r="D198" s="11" t="n">
        <v>0</v>
      </c>
      <c r="E198" t="n">
        <v>2</v>
      </c>
      <c r="F198" s="12" t="n">
        <v>75</v>
      </c>
      <c r="G198" s="11" t="n">
        <v>0</v>
      </c>
      <c r="H198" s="11" t="n">
        <v>0</v>
      </c>
      <c r="I198" s="12" t="n"/>
      <c r="J198" s="11" t="n">
        <v>0</v>
      </c>
      <c r="K198" s="12" t="n"/>
      <c r="L198" s="11" t="n">
        <v>0</v>
      </c>
      <c r="M198" s="11" t="n">
        <v>0</v>
      </c>
      <c r="N198" t="inlineStr">
        <is>
          <t>Review: non-positive budget</t>
        </is>
      </c>
    </row>
    <row r="199">
      <c r="A199" t="inlineStr">
        <is>
          <t>Financial Services</t>
        </is>
      </c>
      <c r="B199" t="inlineStr">
        <is>
          <t>Long Center Capital Improvements Fund</t>
        </is>
      </c>
      <c r="C199" s="11" t="n">
        <v>0</v>
      </c>
      <c r="D199" s="11" t="n">
        <v>0</v>
      </c>
      <c r="E199" t="n">
        <v>1</v>
      </c>
      <c r="F199" s="12" t="n">
        <v>75</v>
      </c>
      <c r="G199" s="11" t="n">
        <v>0</v>
      </c>
      <c r="H199" s="11" t="n">
        <v>0</v>
      </c>
      <c r="I199" s="12" t="n"/>
      <c r="J199" s="11" t="n">
        <v>0</v>
      </c>
      <c r="K199" s="12" t="n"/>
      <c r="L199" s="11" t="n">
        <v>0</v>
      </c>
      <c r="M199" s="11" t="n">
        <v>0</v>
      </c>
      <c r="N199" t="inlineStr">
        <is>
          <t>Review: non-positive budget</t>
        </is>
      </c>
    </row>
    <row r="200">
      <c r="A200" t="inlineStr">
        <is>
          <t>Financial Services</t>
        </is>
      </c>
      <c r="B200" t="inlineStr">
        <is>
          <t>Rainey Street Historic District Fund</t>
        </is>
      </c>
      <c r="C200" s="11" t="n">
        <v>0</v>
      </c>
      <c r="D200" s="11" t="n">
        <v>0</v>
      </c>
      <c r="E200" t="n">
        <v>1</v>
      </c>
      <c r="F200" s="12" t="n">
        <v>75</v>
      </c>
      <c r="G200" s="11" t="n">
        <v>0</v>
      </c>
      <c r="H200" s="11" t="n">
        <v>0</v>
      </c>
      <c r="I200" s="12" t="n"/>
      <c r="J200" s="11" t="n">
        <v>0</v>
      </c>
      <c r="K200" s="12" t="n"/>
      <c r="L200" s="11" t="n">
        <v>0</v>
      </c>
      <c r="M200" s="11" t="n">
        <v>0</v>
      </c>
      <c r="N200" t="inlineStr">
        <is>
          <t>Review: non-positive budget</t>
        </is>
      </c>
    </row>
    <row r="201">
      <c r="A201" t="inlineStr">
        <is>
          <t>Management Services</t>
        </is>
      </c>
      <c r="B201" t="inlineStr">
        <is>
          <t>Project Connect - Office Fund</t>
        </is>
      </c>
      <c r="C201" s="11" t="n">
        <v>0</v>
      </c>
      <c r="D201" s="11" t="n">
        <v>0</v>
      </c>
      <c r="E201" t="n">
        <v>43</v>
      </c>
      <c r="F201" s="12" t="n">
        <v>75</v>
      </c>
      <c r="G201" s="11" t="n">
        <v>0</v>
      </c>
      <c r="H201" s="11" t="n">
        <v>0</v>
      </c>
      <c r="I201" s="12" t="n"/>
      <c r="J201" s="11" t="n">
        <v>0</v>
      </c>
      <c r="K201" s="12" t="n"/>
      <c r="L201" s="11" t="n">
        <v>0</v>
      </c>
      <c r="M201" s="11" t="n">
        <v>0</v>
      </c>
      <c r="N201" t="inlineStr">
        <is>
          <t>Review: non-positive budget</t>
        </is>
      </c>
    </row>
    <row r="202">
      <c r="A202" t="inlineStr">
        <is>
          <t>Management Services</t>
        </is>
      </c>
      <c r="B202" t="inlineStr">
        <is>
          <t>Planting For The Future Fund</t>
        </is>
      </c>
      <c r="C202" s="11" t="n">
        <v>0</v>
      </c>
      <c r="D202" s="11" t="n">
        <v>0</v>
      </c>
      <c r="E202" t="n">
        <v>1</v>
      </c>
      <c r="F202" s="12" t="n">
        <v>75</v>
      </c>
      <c r="G202" s="11" t="n">
        <v>0</v>
      </c>
      <c r="H202" s="11" t="n">
        <v>0</v>
      </c>
      <c r="I202" s="12" t="n"/>
      <c r="J202" s="11" t="n">
        <v>0</v>
      </c>
      <c r="K202" s="12" t="n"/>
      <c r="L202" s="11" t="n">
        <v>0</v>
      </c>
      <c r="M202" s="11" t="n">
        <v>0</v>
      </c>
      <c r="N202" t="inlineStr">
        <is>
          <t>Review: non-positive budget</t>
        </is>
      </c>
    </row>
    <row r="203">
      <c r="A203" t="inlineStr">
        <is>
          <t>Management Services</t>
        </is>
      </c>
      <c r="B203" t="inlineStr">
        <is>
          <t>General Fund Budget Stabilization Reserve Fund</t>
        </is>
      </c>
      <c r="C203" s="11" t="n">
        <v>0</v>
      </c>
      <c r="D203" s="11" t="n">
        <v>-6725.65</v>
      </c>
      <c r="E203" t="n">
        <v>1</v>
      </c>
      <c r="F203" s="12" t="n">
        <v>75</v>
      </c>
      <c r="G203" s="11" t="n">
        <v>0</v>
      </c>
      <c r="H203" s="11" t="n">
        <v>6725.65</v>
      </c>
      <c r="I203" s="12" t="n"/>
      <c r="J203" s="11" t="n">
        <v>-6725.65</v>
      </c>
      <c r="K203" s="12" t="n"/>
      <c r="L203" s="11" t="n">
        <v>-8967.533333333333</v>
      </c>
      <c r="M203" s="11" t="n">
        <v>-8967.533333333333</v>
      </c>
      <c r="N203" t="inlineStr">
        <is>
          <t>Review: non-positive budget</t>
        </is>
      </c>
    </row>
    <row r="204">
      <c r="A204" t="inlineStr">
        <is>
          <t>Information Security Office</t>
        </is>
      </c>
      <c r="B204" t="inlineStr">
        <is>
          <t>Information and Technology Fund</t>
        </is>
      </c>
      <c r="C204" s="11" t="n">
        <v>0</v>
      </c>
      <c r="D204" s="11" t="n">
        <v>-142238.95</v>
      </c>
      <c r="E204" t="n">
        <v>127</v>
      </c>
      <c r="F204" s="12" t="n">
        <v>75</v>
      </c>
      <c r="G204" s="11" t="n">
        <v>0</v>
      </c>
      <c r="H204" s="11" t="n">
        <v>142238.95</v>
      </c>
      <c r="I204" s="12" t="n"/>
      <c r="J204" s="11" t="n">
        <v>-142238.95</v>
      </c>
      <c r="K204" s="12" t="n"/>
      <c r="L204" s="11" t="n">
        <v>-189651.9333333333</v>
      </c>
      <c r="M204" s="11" t="n">
        <v>-189651.9333333333</v>
      </c>
      <c r="N204" t="inlineStr">
        <is>
          <t>Review: non-positive budget</t>
        </is>
      </c>
    </row>
    <row r="205">
      <c r="A205" t="inlineStr">
        <is>
          <t>Neighborhood Housing &amp; Community Development</t>
        </is>
      </c>
      <c r="B205" t="inlineStr">
        <is>
          <t>Austin Housing Finance Corporation-Operating Fund</t>
        </is>
      </c>
      <c r="C205" s="11" t="n">
        <v>0</v>
      </c>
      <c r="D205" s="11" t="n">
        <v>0</v>
      </c>
      <c r="E205" t="n">
        <v>4</v>
      </c>
      <c r="F205" s="12" t="n">
        <v>75</v>
      </c>
      <c r="G205" s="11" t="n">
        <v>0</v>
      </c>
      <c r="H205" s="11" t="n">
        <v>0</v>
      </c>
      <c r="I205" s="12" t="n"/>
      <c r="J205" s="11" t="n">
        <v>0</v>
      </c>
      <c r="K205" s="12" t="n"/>
      <c r="L205" s="11" t="n">
        <v>0</v>
      </c>
      <c r="M205" s="11" t="n">
        <v>0</v>
      </c>
      <c r="N205" t="inlineStr">
        <is>
          <t>Review: non-positive budget</t>
        </is>
      </c>
    </row>
    <row r="206">
      <c r="A206" t="inlineStr">
        <is>
          <t>Neighborhood Housing &amp; Community Development</t>
        </is>
      </c>
      <c r="B206" t="inlineStr">
        <is>
          <t>AHFC-Project Connect- Anti Displacement</t>
        </is>
      </c>
      <c r="C206" s="11" t="n">
        <v>0</v>
      </c>
      <c r="D206" s="11" t="n">
        <v>0</v>
      </c>
      <c r="E206" t="n">
        <v>6</v>
      </c>
      <c r="F206" s="12" t="n">
        <v>75</v>
      </c>
      <c r="G206" s="11" t="n">
        <v>0</v>
      </c>
      <c r="H206" s="11" t="n">
        <v>0</v>
      </c>
      <c r="I206" s="12" t="n"/>
      <c r="J206" s="11" t="n">
        <v>0</v>
      </c>
      <c r="K206" s="12" t="n"/>
      <c r="L206" s="11" t="n">
        <v>0</v>
      </c>
      <c r="M206" s="11" t="n">
        <v>0</v>
      </c>
      <c r="N206" t="inlineStr">
        <is>
          <t>Review: non-positive budget</t>
        </is>
      </c>
    </row>
    <row r="207">
      <c r="A207" t="inlineStr">
        <is>
          <t>Neighborhood Housing &amp; Community Development</t>
        </is>
      </c>
      <c r="B207" t="inlineStr">
        <is>
          <t>House Our People Endowment Fund</t>
        </is>
      </c>
      <c r="C207" s="11" t="n">
        <v>0</v>
      </c>
      <c r="D207" s="11" t="n">
        <v>0</v>
      </c>
      <c r="E207" t="n">
        <v>1</v>
      </c>
      <c r="F207" s="12" t="n">
        <v>75</v>
      </c>
      <c r="G207" s="11" t="n">
        <v>0</v>
      </c>
      <c r="H207" s="11" t="n">
        <v>0</v>
      </c>
      <c r="I207" s="12" t="n"/>
      <c r="J207" s="11" t="n">
        <v>0</v>
      </c>
      <c r="K207" s="12" t="n"/>
      <c r="L207" s="11" t="n">
        <v>0</v>
      </c>
      <c r="M207" s="11" t="n">
        <v>0</v>
      </c>
      <c r="N207" t="inlineStr">
        <is>
          <t>Review: non-positive budget</t>
        </is>
      </c>
    </row>
    <row r="208">
      <c r="A208" t="inlineStr">
        <is>
          <t>Nondepartmental</t>
        </is>
      </c>
      <c r="B208" t="inlineStr">
        <is>
          <t>General Fund Emergency Reserve Fund</t>
        </is>
      </c>
      <c r="C208" s="11" t="n">
        <v>0</v>
      </c>
      <c r="D208" s="11" t="n">
        <v>0</v>
      </c>
      <c r="E208" t="n">
        <v>1</v>
      </c>
      <c r="F208" s="12" t="n">
        <v>75</v>
      </c>
      <c r="G208" s="11" t="n">
        <v>0</v>
      </c>
      <c r="H208" s="11" t="n">
        <v>0</v>
      </c>
      <c r="I208" s="12" t="n"/>
      <c r="J208" s="11" t="n">
        <v>0</v>
      </c>
      <c r="K208" s="12" t="n"/>
      <c r="L208" s="11" t="n">
        <v>0</v>
      </c>
      <c r="M208" s="11" t="n">
        <v>0</v>
      </c>
      <c r="N208" t="inlineStr">
        <is>
          <t>Review: non-positive budget</t>
        </is>
      </c>
    </row>
    <row r="209">
      <c r="A209" t="inlineStr">
        <is>
          <t>Parks &amp; Recreation</t>
        </is>
      </c>
      <c r="B209" t="inlineStr">
        <is>
          <t>General Fund Budget Stabilization Reserve Fund</t>
        </is>
      </c>
      <c r="C209" s="11" t="n">
        <v>0</v>
      </c>
      <c r="D209" s="11" t="n">
        <v>0</v>
      </c>
      <c r="E209" t="n">
        <v>4</v>
      </c>
      <c r="F209" s="12" t="n">
        <v>75</v>
      </c>
      <c r="G209" s="11" t="n">
        <v>0</v>
      </c>
      <c r="H209" s="11" t="n">
        <v>0</v>
      </c>
      <c r="I209" s="12" t="n"/>
      <c r="J209" s="11" t="n">
        <v>0</v>
      </c>
      <c r="K209" s="12" t="n"/>
      <c r="L209" s="11" t="n">
        <v>0</v>
      </c>
      <c r="M209" s="11" t="n">
        <v>0</v>
      </c>
      <c r="N209" t="inlineStr">
        <is>
          <t>Review: non-positive budget</t>
        </is>
      </c>
    </row>
    <row r="210">
      <c r="A210" t="inlineStr">
        <is>
          <t>Parks &amp; Recreation</t>
        </is>
      </c>
      <c r="B210" t="inlineStr">
        <is>
          <t>GGCIP - Parks and Recreation</t>
        </is>
      </c>
      <c r="C210" s="11" t="n">
        <v>0</v>
      </c>
      <c r="D210" s="11" t="n">
        <v>0</v>
      </c>
      <c r="E210" t="n">
        <v>17</v>
      </c>
      <c r="F210" s="12" t="n">
        <v>75</v>
      </c>
      <c r="G210" s="11" t="n">
        <v>0</v>
      </c>
      <c r="H210" s="11" t="n">
        <v>0</v>
      </c>
      <c r="I210" s="12" t="n"/>
      <c r="J210" s="11" t="n">
        <v>0</v>
      </c>
      <c r="K210" s="12" t="n"/>
      <c r="L210" s="11" t="n">
        <v>0</v>
      </c>
      <c r="M210" s="11" t="n">
        <v>0</v>
      </c>
      <c r="N210" t="inlineStr">
        <is>
          <t>Review: non-positive budget</t>
        </is>
      </c>
    </row>
    <row r="211">
      <c r="A211" t="inlineStr">
        <is>
          <t>Nondepartmental</t>
        </is>
      </c>
      <c r="B211" t="inlineStr">
        <is>
          <t>Pay for Success Reserve Fund</t>
        </is>
      </c>
      <c r="C211" s="11" t="n">
        <v>0</v>
      </c>
      <c r="D211" s="11" t="n">
        <v>0</v>
      </c>
      <c r="E211" t="n">
        <v>1</v>
      </c>
      <c r="F211" s="12" t="n">
        <v>75</v>
      </c>
      <c r="G211" s="11" t="n">
        <v>0</v>
      </c>
      <c r="H211" s="11" t="n">
        <v>0</v>
      </c>
      <c r="I211" s="12" t="n"/>
      <c r="J211" s="11" t="n">
        <v>0</v>
      </c>
      <c r="K211" s="12" t="n"/>
      <c r="L211" s="11" t="n">
        <v>0</v>
      </c>
      <c r="M211" s="11" t="n">
        <v>0</v>
      </c>
      <c r="N211" t="inlineStr">
        <is>
          <t>Review: non-positive budget</t>
        </is>
      </c>
    </row>
    <row r="212">
      <c r="A212" t="inlineStr">
        <is>
          <t>Municipal Court</t>
        </is>
      </c>
      <c r="B212" t="inlineStr">
        <is>
          <t>General Fund Budget Stabilization Reserve Fund</t>
        </is>
      </c>
      <c r="C212" s="11" t="n">
        <v>0</v>
      </c>
      <c r="D212" s="11" t="n">
        <v>0</v>
      </c>
      <c r="E212" t="n">
        <v>3</v>
      </c>
      <c r="F212" s="12" t="n">
        <v>75</v>
      </c>
      <c r="G212" s="11" t="n">
        <v>0</v>
      </c>
      <c r="H212" s="11" t="n">
        <v>0</v>
      </c>
      <c r="I212" s="12" t="n"/>
      <c r="J212" s="11" t="n">
        <v>0</v>
      </c>
      <c r="K212" s="12" t="n"/>
      <c r="L212" s="11" t="n">
        <v>0</v>
      </c>
      <c r="M212" s="11" t="n">
        <v>0</v>
      </c>
      <c r="N212" t="inlineStr">
        <is>
          <t>Review: non-positive budget</t>
        </is>
      </c>
    </row>
    <row r="213">
      <c r="A213" t="inlineStr">
        <is>
          <t>Police</t>
        </is>
      </c>
      <c r="B213" t="inlineStr">
        <is>
          <t>General Fund Budget Stabilization Reserve Fund</t>
        </is>
      </c>
      <c r="C213" s="11" t="n">
        <v>0</v>
      </c>
      <c r="D213" s="11" t="n">
        <v>0</v>
      </c>
      <c r="E213" t="n">
        <v>3</v>
      </c>
      <c r="F213" s="12" t="n">
        <v>75</v>
      </c>
      <c r="G213" s="11" t="n">
        <v>0</v>
      </c>
      <c r="H213" s="11" t="n">
        <v>0</v>
      </c>
      <c r="I213" s="12" t="n"/>
      <c r="J213" s="11" t="n">
        <v>0</v>
      </c>
      <c r="K213" s="12" t="n"/>
      <c r="L213" s="11" t="n">
        <v>0</v>
      </c>
      <c r="M213" s="11" t="n">
        <v>0</v>
      </c>
      <c r="N213" t="inlineStr">
        <is>
          <t>Review: non-positive budget</t>
        </is>
      </c>
    </row>
    <row r="214">
      <c r="A214" t="inlineStr">
        <is>
          <t>Planning &amp; Zoning</t>
        </is>
      </c>
      <c r="B214" t="inlineStr">
        <is>
          <t>General Fund Budget Stabilization Reserve Fund</t>
        </is>
      </c>
      <c r="C214" s="11" t="n">
        <v>0</v>
      </c>
      <c r="D214" s="11" t="n">
        <v>0</v>
      </c>
      <c r="E214" t="n">
        <v>4</v>
      </c>
      <c r="F214" s="12" t="n">
        <v>75</v>
      </c>
      <c r="G214" s="11" t="n">
        <v>0</v>
      </c>
      <c r="H214" s="11" t="n">
        <v>0</v>
      </c>
      <c r="I214" s="12" t="n"/>
      <c r="J214" s="11" t="n">
        <v>0</v>
      </c>
      <c r="K214" s="12" t="n"/>
      <c r="L214" s="11" t="n">
        <v>0</v>
      </c>
      <c r="M214" s="11" t="n">
        <v>0</v>
      </c>
      <c r="N214" t="inlineStr">
        <is>
          <t>Review: non-positive budget</t>
        </is>
      </c>
    </row>
    <row r="215">
      <c r="A215" t="inlineStr">
        <is>
          <t>Parks &amp; Recreation</t>
        </is>
      </c>
      <c r="B215" t="inlineStr">
        <is>
          <t>Historic Preservation Fund</t>
        </is>
      </c>
      <c r="C215" s="11" t="n">
        <v>0</v>
      </c>
      <c r="D215" s="11" t="n">
        <v>0</v>
      </c>
      <c r="E215" t="n">
        <v>11</v>
      </c>
      <c r="F215" s="12" t="n">
        <v>75</v>
      </c>
      <c r="G215" s="11" t="n">
        <v>0</v>
      </c>
      <c r="H215" s="11" t="n">
        <v>0</v>
      </c>
      <c r="I215" s="12" t="n"/>
      <c r="J215" s="11" t="n">
        <v>0</v>
      </c>
      <c r="K215" s="12" t="n"/>
      <c r="L215" s="11" t="n">
        <v>0</v>
      </c>
      <c r="M215" s="11" t="n">
        <v>0</v>
      </c>
      <c r="N215" t="inlineStr">
        <is>
          <t>Review: non-positive budget</t>
        </is>
      </c>
    </row>
    <row r="216">
      <c r="A216" t="inlineStr">
        <is>
          <t>Public Works</t>
        </is>
      </c>
      <c r="B216" t="inlineStr">
        <is>
          <t>GCP-Transportation PB/2020</t>
        </is>
      </c>
      <c r="C216" s="11" t="n">
        <v>0</v>
      </c>
      <c r="D216" s="11" t="n">
        <v>0</v>
      </c>
      <c r="E216" t="n">
        <v>1</v>
      </c>
      <c r="F216" s="12" t="n">
        <v>75</v>
      </c>
      <c r="G216" s="11" t="n">
        <v>0</v>
      </c>
      <c r="H216" s="11" t="n">
        <v>0</v>
      </c>
      <c r="I216" s="12" t="n"/>
      <c r="J216" s="11" t="n">
        <v>0</v>
      </c>
      <c r="K216" s="12" t="n"/>
      <c r="L216" s="11" t="n">
        <v>0</v>
      </c>
      <c r="M216" s="11" t="n">
        <v>0</v>
      </c>
      <c r="N216" t="inlineStr">
        <is>
          <t>Review: non-positive budget</t>
        </is>
      </c>
    </row>
  </sheetData>
  <autoFilter ref="A4:N216"/>
  <mergeCells count="2">
    <mergeCell ref="A1:J1"/>
    <mergeCell ref="A2:J2"/>
  </mergeCells>
  <conditionalFormatting sqref="J5:J216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13" customWidth="1" min="5" max="5"/>
    <col width="21" customWidth="1" min="6" max="6"/>
    <col width="14" customWidth="1" min="7" max="7"/>
    <col width="13" customWidth="1" min="8" max="8"/>
    <col width="24" customWidth="1" min="9" max="9"/>
    <col width="21" customWidth="1" min="10" max="10"/>
    <col width="21" customWidth="1" min="11" max="11"/>
    <col width="21" customWidth="1" min="12" max="12"/>
    <col width="21" customWidth="1" min="13" max="13"/>
    <col width="23" customWidth="1" min="14" max="14"/>
    <col width="26" customWidth="1" min="15" max="15"/>
    <col width="30" customWidth="1" min="16" max="16"/>
    <col width="24" customWidth="1" min="17" max="17"/>
  </cols>
  <sheetData>
    <row r="1" ht="30" customHeight="1">
      <c r="A1" s="1" t="inlineStr">
        <is>
          <t>Variance Drivers</t>
        </is>
      </c>
    </row>
    <row r="2" ht="32" customHeight="1">
      <c r="A2" s="2" t="inlineStr">
        <is>
          <t>Reviewed output generated by build_finance.py.</t>
        </is>
      </c>
    </row>
    <row r="4">
      <c r="A4" s="10" t="inlineStr">
        <is>
          <t>dept_rollup_name</t>
        </is>
      </c>
      <c r="B4" s="10" t="inlineStr">
        <is>
          <t>fund_name</t>
        </is>
      </c>
      <c r="C4" s="10" t="inlineStr">
        <is>
          <t>program_name</t>
        </is>
      </c>
      <c r="D4" s="10" t="inlineStr">
        <is>
          <t>expense_category</t>
        </is>
      </c>
      <c r="E4" s="10" t="inlineStr">
        <is>
          <t>budget</t>
        </is>
      </c>
      <c r="F4" s="10" t="inlineStr">
        <is>
          <t>expenditures</t>
        </is>
      </c>
      <c r="G4" s="10" t="inlineStr">
        <is>
          <t>source_lines</t>
        </is>
      </c>
      <c r="H4" s="10" t="inlineStr">
        <is>
          <t>elapsed_pct</t>
        </is>
      </c>
      <c r="I4" s="10" t="inlineStr">
        <is>
          <t>expected_spend_to_date</t>
        </is>
      </c>
      <c r="J4" s="10" t="inlineStr">
        <is>
          <t>remaining_budget</t>
        </is>
      </c>
      <c r="K4" s="10" t="inlineStr">
        <is>
          <t>utilization_pct</t>
        </is>
      </c>
      <c r="L4" s="10" t="inlineStr">
        <is>
          <t>pace_variance</t>
        </is>
      </c>
      <c r="M4" s="10" t="inlineStr">
        <is>
          <t>pace_gap_pct_points</t>
        </is>
      </c>
      <c r="N4" s="10" t="inlineStr">
        <is>
          <t>linear_run_rate_proxy</t>
        </is>
      </c>
      <c r="O4" s="10" t="inlineStr">
        <is>
          <t>projected_variance_proxy</t>
        </is>
      </c>
      <c r="P4" s="10" t="inlineStr">
        <is>
          <t>pace_status</t>
        </is>
      </c>
      <c r="Q4" s="10" t="inlineStr">
        <is>
          <t>absolute_pace_variance</t>
        </is>
      </c>
    </row>
    <row r="5">
      <c r="A5" t="inlineStr">
        <is>
          <t>General Obligation Debt Service</t>
        </is>
      </c>
      <c r="B5" t="inlineStr">
        <is>
          <t>General Obligation Debt Service Fund</t>
        </is>
      </c>
      <c r="C5" t="inlineStr">
        <is>
          <t>Transfers and Other Requirements</t>
        </is>
      </c>
      <c r="D5" t="inlineStr">
        <is>
          <t>Transfers &amp; debt service</t>
        </is>
      </c>
      <c r="E5" s="11" t="n">
        <v>281460710</v>
      </c>
      <c r="F5" s="11" t="n">
        <v>77014205.67</v>
      </c>
      <c r="G5" t="n">
        <v>2</v>
      </c>
      <c r="H5" s="12" t="n">
        <v>75</v>
      </c>
      <c r="I5" s="11" t="n">
        <v>211095532.5</v>
      </c>
      <c r="J5" s="11" t="n">
        <v>204446504.33</v>
      </c>
      <c r="K5" s="12" t="n">
        <v>27.36232906894892</v>
      </c>
      <c r="L5" s="11" t="n">
        <v>-134081326.83</v>
      </c>
      <c r="M5" s="12" t="n">
        <v>-47.63767093105109</v>
      </c>
      <c r="N5" s="11" t="n">
        <v>102685607.56</v>
      </c>
      <c r="O5" s="11" t="n">
        <v>-178775102.44</v>
      </c>
      <c r="P5" t="inlineStr">
        <is>
          <t>Below pace</t>
        </is>
      </c>
      <c r="Q5" s="11" t="n">
        <v>134081326.83</v>
      </c>
    </row>
    <row r="6">
      <c r="A6" t="inlineStr">
        <is>
          <t>Aviation</t>
        </is>
      </c>
      <c r="B6" t="inlineStr">
        <is>
          <t>Airport Operating Fund</t>
        </is>
      </c>
      <c r="C6" t="inlineStr">
        <is>
          <t>Transfers, Debt Service, and Other Requirements</t>
        </is>
      </c>
      <c r="D6" t="inlineStr">
        <is>
          <t>Transfers &amp; debt service</t>
        </is>
      </c>
      <c r="E6" s="11" t="n">
        <v>238306905</v>
      </c>
      <c r="F6" s="11" t="n">
        <v>71648227.42</v>
      </c>
      <c r="G6" t="n">
        <v>7</v>
      </c>
      <c r="H6" s="12" t="n">
        <v>75</v>
      </c>
      <c r="I6" s="11" t="n">
        <v>178730178.75</v>
      </c>
      <c r="J6" s="11" t="n">
        <v>166658677.58</v>
      </c>
      <c r="K6" s="12" t="n">
        <v>30.06552723262467</v>
      </c>
      <c r="L6" s="11" t="n">
        <v>-107081951.33</v>
      </c>
      <c r="M6" s="12" t="n">
        <v>-44.93447276737533</v>
      </c>
      <c r="N6" s="11" t="n">
        <v>95530969.89333332</v>
      </c>
      <c r="O6" s="11" t="n">
        <v>-142775935.1066667</v>
      </c>
      <c r="P6" t="inlineStr">
        <is>
          <t>Below pace</t>
        </is>
      </c>
      <c r="Q6" s="11" t="n">
        <v>107081951.33</v>
      </c>
    </row>
    <row r="7">
      <c r="A7" t="inlineStr">
        <is>
          <t>Nondepartmental</t>
        </is>
      </c>
      <c r="B7" t="inlineStr">
        <is>
          <t>Hotel Occupancy Tax Fund</t>
        </is>
      </c>
      <c r="C7" t="inlineStr">
        <is>
          <t>Transfers, Debt Service, and Other Requirements</t>
        </is>
      </c>
      <c r="D7" t="inlineStr">
        <is>
          <t>Transfers &amp; debt service</t>
        </is>
      </c>
      <c r="E7" s="11" t="n">
        <v>167288265</v>
      </c>
      <c r="F7" s="11" t="n">
        <v>172282881.86</v>
      </c>
      <c r="G7" t="n">
        <v>6</v>
      </c>
      <c r="H7" s="12" t="n">
        <v>75</v>
      </c>
      <c r="I7" s="11" t="n">
        <v>125466198.75</v>
      </c>
      <c r="J7" s="11" t="n">
        <v>-4994616.859999985</v>
      </c>
      <c r="K7" s="12" t="n">
        <v>102.9856349218518</v>
      </c>
      <c r="L7" s="11" t="n">
        <v>46816683.10999999</v>
      </c>
      <c r="M7" s="12" t="n">
        <v>27.98563492185181</v>
      </c>
      <c r="N7" s="11" t="n">
        <v>229710509.1466666</v>
      </c>
      <c r="O7" s="11" t="n">
        <v>62422244.14666665</v>
      </c>
      <c r="P7" t="inlineStr">
        <is>
          <t>Above pace</t>
        </is>
      </c>
      <c r="Q7" s="11" t="n">
        <v>46816683.10999999</v>
      </c>
    </row>
    <row r="8">
      <c r="A8" t="inlineStr">
        <is>
          <t>Enterprise Debt Service</t>
        </is>
      </c>
      <c r="B8" t="inlineStr">
        <is>
          <t>AWU Debt Service Fund</t>
        </is>
      </c>
      <c r="C8" t="inlineStr">
        <is>
          <t>Transfers, Debt Service, and Other Requirements</t>
        </is>
      </c>
      <c r="D8" t="inlineStr">
        <is>
          <t>Transfers &amp; debt service</t>
        </is>
      </c>
      <c r="E8" s="11" t="n">
        <v>225161708</v>
      </c>
      <c r="F8" s="11" t="n">
        <v>214220394.21</v>
      </c>
      <c r="G8" t="n">
        <v>4</v>
      </c>
      <c r="H8" s="12" t="n">
        <v>75</v>
      </c>
      <c r="I8" s="11" t="n">
        <v>168871281</v>
      </c>
      <c r="J8" s="11" t="n">
        <v>10941313.78999999</v>
      </c>
      <c r="K8" s="12" t="n">
        <v>95.14068627068684</v>
      </c>
      <c r="L8" s="11" t="n">
        <v>45349113.21000001</v>
      </c>
      <c r="M8" s="12" t="n">
        <v>20.14068627068684</v>
      </c>
      <c r="N8" s="11" t="n">
        <v>285627192.28</v>
      </c>
      <c r="O8" s="11" t="n">
        <v>60465484.28000003</v>
      </c>
      <c r="P8" t="inlineStr">
        <is>
          <t>Above pace</t>
        </is>
      </c>
      <c r="Q8" s="11" t="n">
        <v>45349113.21000001</v>
      </c>
    </row>
    <row r="9">
      <c r="A9" t="inlineStr">
        <is>
          <t>Enterprise Debt Service</t>
        </is>
      </c>
      <c r="B9" t="inlineStr">
        <is>
          <t>AE Debt Service Fund</t>
        </is>
      </c>
      <c r="C9" t="inlineStr">
        <is>
          <t>Transfers, Debt Service, and Other Requirements</t>
        </is>
      </c>
      <c r="D9" t="inlineStr">
        <is>
          <t>Transfers &amp; debt service</t>
        </is>
      </c>
      <c r="E9" s="11" t="n">
        <v>174097715</v>
      </c>
      <c r="F9" s="11" t="n">
        <v>174736976.86</v>
      </c>
      <c r="G9" t="n">
        <v>2</v>
      </c>
      <c r="H9" s="12" t="n">
        <v>75</v>
      </c>
      <c r="I9" s="11" t="n">
        <v>130573286.25</v>
      </c>
      <c r="J9" s="11" t="n">
        <v>-639261.8600000143</v>
      </c>
      <c r="K9" s="12" t="n">
        <v>100.3671856692662</v>
      </c>
      <c r="L9" s="11" t="n">
        <v>44163690.61000001</v>
      </c>
      <c r="M9" s="12" t="n">
        <v>25.36718566926625</v>
      </c>
      <c r="N9" s="11" t="n">
        <v>232982635.8133334</v>
      </c>
      <c r="O9" s="11" t="n">
        <v>58884920.81333336</v>
      </c>
      <c r="P9" t="inlineStr">
        <is>
          <t>Above pace</t>
        </is>
      </c>
      <c r="Q9" s="11" t="n">
        <v>44163690.61000001</v>
      </c>
    </row>
    <row r="10">
      <c r="A10" t="inlineStr">
        <is>
          <t>Nondepartmental</t>
        </is>
      </c>
      <c r="B10" t="inlineStr">
        <is>
          <t>Project Connect Fund</t>
        </is>
      </c>
      <c r="C10" t="inlineStr">
        <is>
          <t>Division Placeholder</t>
        </is>
      </c>
      <c r="D10" t="inlineStr">
        <is>
          <t>Contractual services</t>
        </is>
      </c>
      <c r="E10" s="11" t="n">
        <v>186681064</v>
      </c>
      <c r="F10" s="11" t="n">
        <v>183546919.35</v>
      </c>
      <c r="G10" t="n">
        <v>1</v>
      </c>
      <c r="H10" s="12" t="n">
        <v>75</v>
      </c>
      <c r="I10" s="11" t="n">
        <v>140010798</v>
      </c>
      <c r="J10" s="11" t="n">
        <v>3134144.650000006</v>
      </c>
      <c r="K10" s="12" t="n">
        <v>98.3211234268517</v>
      </c>
      <c r="L10" s="11" t="n">
        <v>43536121.35</v>
      </c>
      <c r="M10" s="12" t="n">
        <v>23.3211234268517</v>
      </c>
      <c r="N10" s="11" t="n">
        <v>244729225.8</v>
      </c>
      <c r="O10" s="11" t="n">
        <v>58048161.79999998</v>
      </c>
      <c r="P10" t="inlineStr">
        <is>
          <t>Above pace</t>
        </is>
      </c>
      <c r="Q10" s="11" t="n">
        <v>43536121.35</v>
      </c>
    </row>
    <row r="11">
      <c r="A11" t="inlineStr">
        <is>
          <t>Austin Energy</t>
        </is>
      </c>
      <c r="B11" t="inlineStr">
        <is>
          <t>E-Elec Short Trm Debt Clearing</t>
        </is>
      </c>
      <c r="C11" t="inlineStr">
        <is>
          <t>Electric Cip Transfers To</t>
        </is>
      </c>
      <c r="D11" t="inlineStr">
        <is>
          <t>Transfers &amp; debt service</t>
        </is>
      </c>
      <c r="E11" s="11" t="n">
        <v>223938407</v>
      </c>
      <c r="F11" s="11" t="n">
        <v>126990000</v>
      </c>
      <c r="G11" t="n">
        <v>1</v>
      </c>
      <c r="H11" s="12" t="n">
        <v>75</v>
      </c>
      <c r="I11" s="11" t="n">
        <v>167953805.25</v>
      </c>
      <c r="J11" s="11" t="n">
        <v>96948407</v>
      </c>
      <c r="K11" s="12" t="n">
        <v>56.70755709180337</v>
      </c>
      <c r="L11" s="11" t="n">
        <v>-40963805.25</v>
      </c>
      <c r="M11" s="12" t="n">
        <v>-18.29244290819663</v>
      </c>
      <c r="N11" s="11" t="n">
        <v>169320000</v>
      </c>
      <c r="O11" s="11" t="n">
        <v>-54618407</v>
      </c>
      <c r="P11" t="inlineStr">
        <is>
          <t>Below pace</t>
        </is>
      </c>
      <c r="Q11" s="11" t="n">
        <v>40963805.25</v>
      </c>
    </row>
    <row r="12">
      <c r="A12" t="inlineStr">
        <is>
          <t>Human Resources</t>
        </is>
      </c>
      <c r="B12" t="inlineStr">
        <is>
          <t>Employee Benefits Fund</t>
        </is>
      </c>
      <c r="C12" t="inlineStr">
        <is>
          <t>Employee Medical</t>
        </is>
      </c>
      <c r="D12" t="inlineStr">
        <is>
          <t>Personnel &amp; benefits</t>
        </is>
      </c>
      <c r="E12" s="11" t="n">
        <v>169271849</v>
      </c>
      <c r="F12" s="11" t="n">
        <v>152599297.72</v>
      </c>
      <c r="G12" t="n">
        <v>3</v>
      </c>
      <c r="H12" s="12" t="n">
        <v>75</v>
      </c>
      <c r="I12" s="11" t="n">
        <v>126953886.75</v>
      </c>
      <c r="J12" s="11" t="n">
        <v>16672551.28</v>
      </c>
      <c r="K12" s="12" t="n">
        <v>90.15042880520552</v>
      </c>
      <c r="L12" s="11" t="n">
        <v>25645410.97</v>
      </c>
      <c r="M12" s="12" t="n">
        <v>15.15042880520552</v>
      </c>
      <c r="N12" s="11" t="n">
        <v>203465730.2933333</v>
      </c>
      <c r="O12" s="11" t="n">
        <v>34193881.29333332</v>
      </c>
      <c r="P12" t="inlineStr">
        <is>
          <t>Above pace</t>
        </is>
      </c>
      <c r="Q12" s="11" t="n">
        <v>25645410.97</v>
      </c>
    </row>
    <row r="13">
      <c r="A13" t="inlineStr">
        <is>
          <t>Enterprise Debt Service</t>
        </is>
      </c>
      <c r="B13" t="inlineStr">
        <is>
          <t>Airport Revenue Bond Redemption Fund</t>
        </is>
      </c>
      <c r="C13" t="inlineStr">
        <is>
          <t>Transfers, Debt Service, and Other Requirements</t>
        </is>
      </c>
      <c r="D13" t="inlineStr">
        <is>
          <t>Transfers &amp; debt service</t>
        </is>
      </c>
      <c r="E13" s="11" t="n">
        <v>104909375</v>
      </c>
      <c r="F13" s="11" t="n">
        <v>103921048.62</v>
      </c>
      <c r="G13" t="n">
        <v>2</v>
      </c>
      <c r="H13" s="12" t="n">
        <v>75</v>
      </c>
      <c r="I13" s="11" t="n">
        <v>78682031.25</v>
      </c>
      <c r="J13" s="11" t="n">
        <v>988326.3799999952</v>
      </c>
      <c r="K13" s="12" t="n">
        <v>99.05792367936613</v>
      </c>
      <c r="L13" s="11" t="n">
        <v>25239017.37</v>
      </c>
      <c r="M13" s="12" t="n">
        <v>24.05792367936613</v>
      </c>
      <c r="N13" s="11" t="n">
        <v>138561398.16</v>
      </c>
      <c r="O13" s="11" t="n">
        <v>33652023.16</v>
      </c>
      <c r="P13" t="inlineStr">
        <is>
          <t>Above pace</t>
        </is>
      </c>
      <c r="Q13" s="11" t="n">
        <v>25239017.37</v>
      </c>
    </row>
    <row r="14">
      <c r="A14" t="inlineStr">
        <is>
          <t>Austin Convention Center</t>
        </is>
      </c>
      <c r="B14" t="inlineStr">
        <is>
          <t>Tourism Public Improvement District</t>
        </is>
      </c>
      <c r="C14" t="inlineStr">
        <is>
          <t>Public Improvement District</t>
        </is>
      </c>
      <c r="D14" t="inlineStr">
        <is>
          <t>Contractual services</t>
        </is>
      </c>
      <c r="E14" s="11" t="n">
        <v>27878795</v>
      </c>
      <c r="F14" s="11" t="n">
        <v>0</v>
      </c>
      <c r="G14" t="n">
        <v>1</v>
      </c>
      <c r="H14" s="12" t="n">
        <v>75</v>
      </c>
      <c r="I14" s="11" t="n">
        <v>20909096.25</v>
      </c>
      <c r="J14" s="11" t="n">
        <v>27878795</v>
      </c>
      <c r="K14" s="12" t="n">
        <v>0</v>
      </c>
      <c r="L14" s="11" t="n">
        <v>-20909096.25</v>
      </c>
      <c r="M14" s="12" t="n">
        <v>-75</v>
      </c>
      <c r="N14" s="11" t="n">
        <v>0</v>
      </c>
      <c r="O14" s="11" t="n">
        <v>-27878795</v>
      </c>
      <c r="P14" t="inlineStr">
        <is>
          <t>Below pace</t>
        </is>
      </c>
      <c r="Q14" s="11" t="n">
        <v>20909096.25</v>
      </c>
    </row>
    <row r="15">
      <c r="A15" t="inlineStr">
        <is>
          <t>Austin Energy</t>
        </is>
      </c>
      <c r="B15" t="inlineStr">
        <is>
          <t>Austin Energy Fund</t>
        </is>
      </c>
      <c r="C15" t="inlineStr">
        <is>
          <t>Support Services</t>
        </is>
      </c>
      <c r="D15" t="inlineStr">
        <is>
          <t>Other operating costs</t>
        </is>
      </c>
      <c r="E15" s="11" t="n">
        <v>12135494</v>
      </c>
      <c r="F15" s="11" t="n">
        <v>-10677469.31</v>
      </c>
      <c r="G15" t="n">
        <v>962</v>
      </c>
      <c r="H15" s="12" t="n">
        <v>75</v>
      </c>
      <c r="I15" s="11" t="n">
        <v>9101620.5</v>
      </c>
      <c r="J15" s="11" t="n">
        <v>22812963.30999999</v>
      </c>
      <c r="K15" s="12" t="n">
        <v>-87.98545250815498</v>
      </c>
      <c r="L15" s="11" t="n">
        <v>-19779089.80999999</v>
      </c>
      <c r="M15" s="12" t="n">
        <v>-162.985452508155</v>
      </c>
      <c r="N15" s="11" t="n">
        <v>-14236625.74666666</v>
      </c>
      <c r="O15" s="11" t="n">
        <v>-26372119.74666666</v>
      </c>
      <c r="P15" t="inlineStr">
        <is>
          <t>Below pace</t>
        </is>
      </c>
      <c r="Q15" s="11" t="n">
        <v>19779089.80999999</v>
      </c>
    </row>
    <row r="16">
      <c r="A16" t="inlineStr">
        <is>
          <t>Austin Energy</t>
        </is>
      </c>
      <c r="B16" t="inlineStr">
        <is>
          <t>Austin Energy Fund</t>
        </is>
      </c>
      <c r="C16" t="inlineStr">
        <is>
          <t>Transfers, Debt Service, and Other Requirements</t>
        </is>
      </c>
      <c r="D16" t="inlineStr">
        <is>
          <t>Transfers &amp; debt service</t>
        </is>
      </c>
      <c r="E16" s="11" t="n">
        <v>479629401</v>
      </c>
      <c r="F16" s="11" t="n">
        <v>379388614.71</v>
      </c>
      <c r="G16" t="n">
        <v>12</v>
      </c>
      <c r="H16" s="12" t="n">
        <v>75</v>
      </c>
      <c r="I16" s="11" t="n">
        <v>359722050.75</v>
      </c>
      <c r="J16" s="11" t="n">
        <v>100240786.29</v>
      </c>
      <c r="K16" s="12" t="n">
        <v>79.1003666412018</v>
      </c>
      <c r="L16" s="11" t="n">
        <v>19666563.96000004</v>
      </c>
      <c r="M16" s="12" t="n">
        <v>4.100366641201802</v>
      </c>
      <c r="N16" s="11" t="n">
        <v>505851486.28</v>
      </c>
      <c r="O16" s="11" t="n">
        <v>26222085.28000003</v>
      </c>
      <c r="P16" t="inlineStr">
        <is>
          <t>Near pace</t>
        </is>
      </c>
      <c r="Q16" s="11" t="n">
        <v>19666563.96000004</v>
      </c>
    </row>
    <row r="17">
      <c r="A17" t="inlineStr">
        <is>
          <t>Aviation</t>
        </is>
      </c>
      <c r="B17" t="inlineStr">
        <is>
          <t>Airport Capital Fund</t>
        </is>
      </c>
      <c r="C17" t="inlineStr">
        <is>
          <t>Transfers, Debt Service, and Other Requirements</t>
        </is>
      </c>
      <c r="D17" t="inlineStr">
        <is>
          <t>Transfers &amp; debt service</t>
        </is>
      </c>
      <c r="E17" s="11" t="n">
        <v>185706476</v>
      </c>
      <c r="F17" s="11" t="n">
        <v>119781763.25</v>
      </c>
      <c r="G17" t="n">
        <v>2</v>
      </c>
      <c r="H17" s="12" t="n">
        <v>75</v>
      </c>
      <c r="I17" s="11" t="n">
        <v>139279857</v>
      </c>
      <c r="J17" s="11" t="n">
        <v>65924712.75</v>
      </c>
      <c r="K17" s="12" t="n">
        <v>64.50058491767406</v>
      </c>
      <c r="L17" s="11" t="n">
        <v>-19498093.75</v>
      </c>
      <c r="M17" s="12" t="n">
        <v>-10.49941508232594</v>
      </c>
      <c r="N17" s="11" t="n">
        <v>159709017.6666667</v>
      </c>
      <c r="O17" s="11" t="n">
        <v>-25997458.33333334</v>
      </c>
      <c r="P17" t="inlineStr">
        <is>
          <t>Below pace</t>
        </is>
      </c>
      <c r="Q17" s="11" t="n">
        <v>19498093.75</v>
      </c>
    </row>
    <row r="18">
      <c r="A18" t="inlineStr">
        <is>
          <t>Neighborhood Housing &amp; Community Development</t>
        </is>
      </c>
      <c r="B18" t="inlineStr">
        <is>
          <t>Homestead Preservation Reinvestment Tax Increment Fund</t>
        </is>
      </c>
      <c r="C18" t="inlineStr">
        <is>
          <t>Housing</t>
        </is>
      </c>
      <c r="D18" t="inlineStr">
        <is>
          <t>Grants &amp; contributions</t>
        </is>
      </c>
      <c r="E18" s="11" t="n">
        <v>24019067</v>
      </c>
      <c r="F18" s="11" t="n">
        <v>0</v>
      </c>
      <c r="G18" t="n">
        <v>2</v>
      </c>
      <c r="H18" s="12" t="n">
        <v>75</v>
      </c>
      <c r="I18" s="11" t="n">
        <v>18014300.25</v>
      </c>
      <c r="J18" s="11" t="n">
        <v>24019067</v>
      </c>
      <c r="K18" s="12" t="n">
        <v>0</v>
      </c>
      <c r="L18" s="11" t="n">
        <v>-18014300.25</v>
      </c>
      <c r="M18" s="12" t="n">
        <v>-75</v>
      </c>
      <c r="N18" s="11" t="n">
        <v>0</v>
      </c>
      <c r="O18" s="11" t="n">
        <v>-24019067</v>
      </c>
      <c r="P18" t="inlineStr">
        <is>
          <t>Below pace</t>
        </is>
      </c>
      <c r="Q18" s="11" t="n">
        <v>18014300.25</v>
      </c>
    </row>
    <row r="19">
      <c r="A19" t="inlineStr">
        <is>
          <t>Austin Energy</t>
        </is>
      </c>
      <c r="B19" t="inlineStr">
        <is>
          <t>Austin Energy Fund</t>
        </is>
      </c>
      <c r="C19" t="inlineStr">
        <is>
          <t>Power Generation, Market Operations &amp; Resource Planning</t>
        </is>
      </c>
      <c r="D19" t="inlineStr">
        <is>
          <t>Other operating costs</t>
        </is>
      </c>
      <c r="E19" s="11" t="n">
        <v>141544353</v>
      </c>
      <c r="F19" s="11" t="n">
        <v>123051299.15</v>
      </c>
      <c r="G19" t="n">
        <v>477</v>
      </c>
      <c r="H19" s="12" t="n">
        <v>75</v>
      </c>
      <c r="I19" s="11" t="n">
        <v>106158264.75</v>
      </c>
      <c r="J19" s="11" t="n">
        <v>18493053.85</v>
      </c>
      <c r="K19" s="12" t="n">
        <v>86.93479926394521</v>
      </c>
      <c r="L19" s="11" t="n">
        <v>16893034.40000001</v>
      </c>
      <c r="M19" s="12" t="n">
        <v>11.93479926394521</v>
      </c>
      <c r="N19" s="11" t="n">
        <v>164068398.8666667</v>
      </c>
      <c r="O19" s="11" t="n">
        <v>22524045.86666667</v>
      </c>
      <c r="P19" t="inlineStr">
        <is>
          <t>Above pace</t>
        </is>
      </c>
      <c r="Q19" s="11" t="n">
        <v>16893034.40000001</v>
      </c>
    </row>
    <row r="20">
      <c r="A20" t="inlineStr">
        <is>
          <t>Enterprise Debt Service</t>
        </is>
      </c>
      <c r="B20" t="inlineStr">
        <is>
          <t>Convention Center HOT Debt Service Fund-Subordinate Lien</t>
        </is>
      </c>
      <c r="C20" t="inlineStr">
        <is>
          <t>Transfers, Debt Service, and Other Requirements</t>
        </is>
      </c>
      <c r="D20" t="inlineStr">
        <is>
          <t>Transfers &amp; debt service</t>
        </is>
      </c>
      <c r="E20" s="11" t="n">
        <v>30320995</v>
      </c>
      <c r="F20" s="11" t="n">
        <v>7997935.45</v>
      </c>
      <c r="G20" t="n">
        <v>3</v>
      </c>
      <c r="H20" s="12" t="n">
        <v>75</v>
      </c>
      <c r="I20" s="11" t="n">
        <v>22740746.25</v>
      </c>
      <c r="J20" s="11" t="n">
        <v>22323059.55</v>
      </c>
      <c r="K20" s="12" t="n">
        <v>26.37754945047153</v>
      </c>
      <c r="L20" s="11" t="n">
        <v>-14742810.8</v>
      </c>
      <c r="M20" s="12" t="n">
        <v>-48.62245054952847</v>
      </c>
      <c r="N20" s="11" t="n">
        <v>10663913.93333333</v>
      </c>
      <c r="O20" s="11" t="n">
        <v>-19657081.06666666</v>
      </c>
      <c r="P20" t="inlineStr">
        <is>
          <t>Below pace</t>
        </is>
      </c>
      <c r="Q20" s="11" t="n">
        <v>14742810.8</v>
      </c>
    </row>
    <row r="21">
      <c r="A21" t="inlineStr">
        <is>
          <t>Austin Convention Center</t>
        </is>
      </c>
      <c r="B21" t="inlineStr">
        <is>
          <t>Tourism Public Improvement District</t>
        </is>
      </c>
      <c r="C21" t="inlineStr">
        <is>
          <t>Public Improvement District</t>
        </is>
      </c>
      <c r="D21" t="inlineStr">
        <is>
          <t>Grants &amp; contributions</t>
        </is>
      </c>
      <c r="E21" s="11" t="n">
        <v>0</v>
      </c>
      <c r="F21" s="11" t="n">
        <v>13917855.89</v>
      </c>
      <c r="G21" t="n">
        <v>1</v>
      </c>
      <c r="H21" s="12" t="n">
        <v>75</v>
      </c>
      <c r="I21" s="11" t="n">
        <v>0</v>
      </c>
      <c r="J21" s="11" t="n">
        <v>-13917855.89</v>
      </c>
      <c r="K21" s="12" t="n"/>
      <c r="L21" s="11" t="n">
        <v>13917855.89</v>
      </c>
      <c r="M21" s="12" t="n"/>
      <c r="N21" s="11" t="n">
        <v>18557141.18666667</v>
      </c>
      <c r="O21" s="11" t="n">
        <v>18557141.18666667</v>
      </c>
      <c r="P21" t="inlineStr">
        <is>
          <t>Review: spend without budget</t>
        </is>
      </c>
      <c r="Q21" s="11" t="n">
        <v>13917855.89</v>
      </c>
    </row>
    <row r="22">
      <c r="A22" t="inlineStr">
        <is>
          <t>Enterprise Debt Service</t>
        </is>
      </c>
      <c r="B22" t="inlineStr">
        <is>
          <t>Convention Center Expansion Senior Lien Debt Service Fund</t>
        </is>
      </c>
      <c r="C22" t="inlineStr">
        <is>
          <t>Transfers, Debt Service, and Other Requirements</t>
        </is>
      </c>
      <c r="D22" t="inlineStr">
        <is>
          <t>Transfers &amp; debt service</t>
        </is>
      </c>
      <c r="E22" s="11" t="n">
        <v>17858638</v>
      </c>
      <c r="F22" s="11" t="n">
        <v>0</v>
      </c>
      <c r="G22" t="n">
        <v>2</v>
      </c>
      <c r="H22" s="12" t="n">
        <v>75</v>
      </c>
      <c r="I22" s="11" t="n">
        <v>13393978.5</v>
      </c>
      <c r="J22" s="11" t="n">
        <v>17858638</v>
      </c>
      <c r="K22" s="12" t="n">
        <v>0</v>
      </c>
      <c r="L22" s="11" t="n">
        <v>-13393978.5</v>
      </c>
      <c r="M22" s="12" t="n">
        <v>-75</v>
      </c>
      <c r="N22" s="11" t="n">
        <v>0</v>
      </c>
      <c r="O22" s="11" t="n">
        <v>-17858638</v>
      </c>
      <c r="P22" t="inlineStr">
        <is>
          <t>Below pace</t>
        </is>
      </c>
      <c r="Q22" s="11" t="n">
        <v>13393978.5</v>
      </c>
    </row>
    <row r="23">
      <c r="A23" t="inlineStr">
        <is>
          <t>Austin Energy</t>
        </is>
      </c>
      <c r="B23" t="inlineStr">
        <is>
          <t>Austin Energy Fund</t>
        </is>
      </c>
      <c r="C23" t="inlineStr">
        <is>
          <t>Power Supply</t>
        </is>
      </c>
      <c r="D23" t="inlineStr">
        <is>
          <t>Supplies, technology &amp; equipment</t>
        </is>
      </c>
      <c r="E23" s="11" t="n">
        <v>0</v>
      </c>
      <c r="F23" s="11" t="n">
        <v>13265401.07</v>
      </c>
      <c r="G23" t="n">
        <v>1</v>
      </c>
      <c r="H23" s="12" t="n">
        <v>75</v>
      </c>
      <c r="I23" s="11" t="n">
        <v>0</v>
      </c>
      <c r="J23" s="11" t="n">
        <v>-13265401.07</v>
      </c>
      <c r="K23" s="12" t="n"/>
      <c r="L23" s="11" t="n">
        <v>13265401.07</v>
      </c>
      <c r="M23" s="12" t="n"/>
      <c r="N23" s="11" t="n">
        <v>17687201.42666667</v>
      </c>
      <c r="O23" s="11" t="n">
        <v>17687201.42666667</v>
      </c>
      <c r="P23" t="inlineStr">
        <is>
          <t>Review: spend without budget</t>
        </is>
      </c>
      <c r="Q23" s="11" t="n">
        <v>13265401.07</v>
      </c>
    </row>
    <row r="24">
      <c r="A24" t="inlineStr">
        <is>
          <t>Fire</t>
        </is>
      </c>
      <c r="B24" t="inlineStr">
        <is>
          <t>General Fund</t>
        </is>
      </c>
      <c r="C24" t="inlineStr">
        <is>
          <t>Fire / Emergency Response</t>
        </is>
      </c>
      <c r="D24" t="inlineStr">
        <is>
          <t>Personnel &amp; benefits</t>
        </is>
      </c>
      <c r="E24" s="11" t="n">
        <v>129669201</v>
      </c>
      <c r="F24" s="11" t="n">
        <v>108619769.18</v>
      </c>
      <c r="G24" t="n">
        <v>47</v>
      </c>
      <c r="H24" s="12" t="n">
        <v>75</v>
      </c>
      <c r="I24" s="11" t="n">
        <v>97251900.75</v>
      </c>
      <c r="J24" s="11" t="n">
        <v>21049431.82</v>
      </c>
      <c r="K24" s="12" t="n">
        <v>83.76682230038573</v>
      </c>
      <c r="L24" s="11" t="n">
        <v>11367868.43000001</v>
      </c>
      <c r="M24" s="12" t="n">
        <v>8.766822300385726</v>
      </c>
      <c r="N24" s="11" t="n">
        <v>144826358.9066667</v>
      </c>
      <c r="O24" s="11" t="n">
        <v>15157157.90666667</v>
      </c>
      <c r="P24" t="inlineStr">
        <is>
          <t>Above pace</t>
        </is>
      </c>
      <c r="Q24" s="11" t="n">
        <v>11367868.43000001</v>
      </c>
    </row>
    <row r="25">
      <c r="A25" t="inlineStr">
        <is>
          <t>Homeless Strategy Office</t>
        </is>
      </c>
      <c r="B25" t="inlineStr">
        <is>
          <t>General Fund</t>
        </is>
      </c>
      <c r="C25" t="inlineStr">
        <is>
          <t>Social Service Grants - HSO</t>
        </is>
      </c>
      <c r="D25" t="inlineStr">
        <is>
          <t>Grants &amp; contributions</t>
        </is>
      </c>
      <c r="E25" s="11" t="n">
        <v>39492782</v>
      </c>
      <c r="F25" s="11" t="n">
        <v>18458747.14</v>
      </c>
      <c r="G25" t="n">
        <v>2</v>
      </c>
      <c r="H25" s="12" t="n">
        <v>75</v>
      </c>
      <c r="I25" s="11" t="n">
        <v>29619586.5</v>
      </c>
      <c r="J25" s="11" t="n">
        <v>21034034.86</v>
      </c>
      <c r="K25" s="12" t="n">
        <v>46.73954633026359</v>
      </c>
      <c r="L25" s="11" t="n">
        <v>-11160839.36</v>
      </c>
      <c r="M25" s="12" t="n">
        <v>-28.26045366973641</v>
      </c>
      <c r="N25" s="11" t="n">
        <v>24611662.85333333</v>
      </c>
      <c r="O25" s="11" t="n">
        <v>-14881119.14666666</v>
      </c>
      <c r="P25" t="inlineStr">
        <is>
          <t>Below pace</t>
        </is>
      </c>
      <c r="Q25" s="11" t="n">
        <v>11160839.36</v>
      </c>
    </row>
    <row r="26">
      <c r="A26" t="inlineStr">
        <is>
          <t>Office of Arts, Culture, Music and Entertainment</t>
        </is>
      </c>
      <c r="B26" t="inlineStr">
        <is>
          <t>Historic Preservation Fund</t>
        </is>
      </c>
      <c r="C26" t="inlineStr">
        <is>
          <t>Cultural Education and Heritage Preservation</t>
        </is>
      </c>
      <c r="D26" t="inlineStr">
        <is>
          <t>Other operating costs</t>
        </is>
      </c>
      <c r="E26" s="11" t="n">
        <v>15645780</v>
      </c>
      <c r="F26" s="11" t="n">
        <v>1857777.97</v>
      </c>
      <c r="G26" t="n">
        <v>5</v>
      </c>
      <c r="H26" s="12" t="n">
        <v>75</v>
      </c>
      <c r="I26" s="11" t="n">
        <v>11734335</v>
      </c>
      <c r="J26" s="11" t="n">
        <v>13788002.03</v>
      </c>
      <c r="K26" s="12" t="n">
        <v>11.87398755447156</v>
      </c>
      <c r="L26" s="11" t="n">
        <v>-9876557.029999999</v>
      </c>
      <c r="M26" s="12" t="n">
        <v>-63.12601244552845</v>
      </c>
      <c r="N26" s="11" t="n">
        <v>2477037.293333333</v>
      </c>
      <c r="O26" s="11" t="n">
        <v>-13168742.70666667</v>
      </c>
      <c r="P26" t="inlineStr">
        <is>
          <t>Below pace</t>
        </is>
      </c>
      <c r="Q26" s="11" t="n">
        <v>9876557.029999999</v>
      </c>
    </row>
    <row r="27">
      <c r="A27" t="inlineStr">
        <is>
          <t>Austin Energy</t>
        </is>
      </c>
      <c r="B27" t="inlineStr">
        <is>
          <t>Austin Energy Fund</t>
        </is>
      </c>
      <c r="C27" t="inlineStr">
        <is>
          <t>Electric System</t>
        </is>
      </c>
      <c r="D27" t="inlineStr">
        <is>
          <t>Contractual services</t>
        </is>
      </c>
      <c r="E27" s="11" t="n">
        <v>269981957</v>
      </c>
      <c r="F27" s="11" t="n">
        <v>212207401.16</v>
      </c>
      <c r="G27" t="n">
        <v>208</v>
      </c>
      <c r="H27" s="12" t="n">
        <v>75</v>
      </c>
      <c r="I27" s="11" t="n">
        <v>202486467.75</v>
      </c>
      <c r="J27" s="11" t="n">
        <v>57774555.84</v>
      </c>
      <c r="K27" s="12" t="n">
        <v>78.60058631992212</v>
      </c>
      <c r="L27" s="11" t="n">
        <v>9720933.409999996</v>
      </c>
      <c r="M27" s="12" t="n">
        <v>3.600586319922116</v>
      </c>
      <c r="N27" s="11" t="n">
        <v>282943201.5466667</v>
      </c>
      <c r="O27" s="11" t="n">
        <v>12961244.54666668</v>
      </c>
      <c r="P27" t="inlineStr">
        <is>
          <t>Near pace</t>
        </is>
      </c>
      <c r="Q27" s="11" t="n">
        <v>9720933.409999996</v>
      </c>
    </row>
    <row r="28">
      <c r="A28" t="inlineStr">
        <is>
          <t>Austin Energy</t>
        </is>
      </c>
      <c r="B28" t="inlineStr">
        <is>
          <t>Austin Energy Fund</t>
        </is>
      </c>
      <c r="C28" t="inlineStr">
        <is>
          <t>Customer Care</t>
        </is>
      </c>
      <c r="D28" t="inlineStr">
        <is>
          <t>Contractual services</t>
        </is>
      </c>
      <c r="E28" s="11" t="n">
        <v>38063936</v>
      </c>
      <c r="F28" s="11" t="n">
        <v>19679645.59</v>
      </c>
      <c r="G28" t="n">
        <v>82</v>
      </c>
      <c r="H28" s="12" t="n">
        <v>75</v>
      </c>
      <c r="I28" s="11" t="n">
        <v>28547952</v>
      </c>
      <c r="J28" s="11" t="n">
        <v>18384290.41</v>
      </c>
      <c r="K28" s="12" t="n">
        <v>51.701551804837</v>
      </c>
      <c r="L28" s="11" t="n">
        <v>-8868306.41</v>
      </c>
      <c r="M28" s="12" t="n">
        <v>-23.298448195163</v>
      </c>
      <c r="N28" s="11" t="n">
        <v>26239527.45333333</v>
      </c>
      <c r="O28" s="11" t="n">
        <v>-11824408.54666667</v>
      </c>
      <c r="P28" t="inlineStr">
        <is>
          <t>Below pace</t>
        </is>
      </c>
      <c r="Q28" s="11" t="n">
        <v>8868306.41</v>
      </c>
    </row>
    <row r="29">
      <c r="A29" t="inlineStr">
        <is>
          <t>Austin Water</t>
        </is>
      </c>
      <c r="B29" t="inlineStr">
        <is>
          <t>Austin Water Wastewater Utility Operating Fund</t>
        </is>
      </c>
      <c r="C29" t="inlineStr">
        <is>
          <t>Transfers, Debt Service, and Other Requirements</t>
        </is>
      </c>
      <c r="D29" t="inlineStr">
        <is>
          <t>Transfers &amp; debt service</t>
        </is>
      </c>
      <c r="E29" s="11" t="n">
        <v>224880632</v>
      </c>
      <c r="F29" s="11" t="n">
        <v>176865245.13</v>
      </c>
      <c r="G29" t="n">
        <v>12</v>
      </c>
      <c r="H29" s="12" t="n">
        <v>75</v>
      </c>
      <c r="I29" s="11" t="n">
        <v>168660474</v>
      </c>
      <c r="J29" s="11" t="n">
        <v>48015386.87</v>
      </c>
      <c r="K29" s="12" t="n">
        <v>78.64850056540219</v>
      </c>
      <c r="L29" s="11" t="n">
        <v>8204771.129999995</v>
      </c>
      <c r="M29" s="12" t="n">
        <v>3.648500565402188</v>
      </c>
      <c r="N29" s="11" t="n">
        <v>235820326.84</v>
      </c>
      <c r="O29" s="11" t="n">
        <v>10939694.84</v>
      </c>
      <c r="P29" t="inlineStr">
        <is>
          <t>Near pace</t>
        </is>
      </c>
      <c r="Q29" s="11" t="n">
        <v>8204771.129999995</v>
      </c>
    </row>
    <row r="30">
      <c r="A30" t="inlineStr">
        <is>
          <t>Austin Water</t>
        </is>
      </c>
      <c r="B30" t="inlineStr">
        <is>
          <t>Austin Water Water Utility Operating Fund</t>
        </is>
      </c>
      <c r="C30" t="inlineStr">
        <is>
          <t>Transfers, Debt Service, and Other Requirements</t>
        </is>
      </c>
      <c r="D30" t="inlineStr">
        <is>
          <t>Transfers &amp; debt service</t>
        </is>
      </c>
      <c r="E30" s="11" t="n">
        <v>208413427</v>
      </c>
      <c r="F30" s="11" t="n">
        <v>164334835.44</v>
      </c>
      <c r="G30" t="n">
        <v>14</v>
      </c>
      <c r="H30" s="12" t="n">
        <v>75</v>
      </c>
      <c r="I30" s="11" t="n">
        <v>156310070.25</v>
      </c>
      <c r="J30" s="11" t="n">
        <v>44078591.56</v>
      </c>
      <c r="K30" s="12" t="n">
        <v>78.85040700376756</v>
      </c>
      <c r="L30" s="11" t="n">
        <v>8024765.189999998</v>
      </c>
      <c r="M30" s="12" t="n">
        <v>3.850407003767558</v>
      </c>
      <c r="N30" s="11" t="n">
        <v>219113113.92</v>
      </c>
      <c r="O30" s="11" t="n">
        <v>10699686.91999999</v>
      </c>
      <c r="P30" t="inlineStr">
        <is>
          <t>Near pace</t>
        </is>
      </c>
      <c r="Q30" s="11" t="n">
        <v>8024765.189999998</v>
      </c>
    </row>
    <row r="31">
      <c r="A31" t="inlineStr">
        <is>
          <t>Financial Services</t>
        </is>
      </c>
      <c r="B31" t="inlineStr">
        <is>
          <t>Downtown Public Improvement District Fund</t>
        </is>
      </c>
      <c r="C31" t="inlineStr">
        <is>
          <t>Public Improvement District</t>
        </is>
      </c>
      <c r="D31" t="inlineStr">
        <is>
          <t>Contractual services</t>
        </is>
      </c>
      <c r="E31" s="11" t="n">
        <v>14274964</v>
      </c>
      <c r="F31" s="11" t="n">
        <v>3229714.83</v>
      </c>
      <c r="G31" t="n">
        <v>3</v>
      </c>
      <c r="H31" s="12" t="n">
        <v>75</v>
      </c>
      <c r="I31" s="11" t="n">
        <v>10706223</v>
      </c>
      <c r="J31" s="11" t="n">
        <v>11045249.17</v>
      </c>
      <c r="K31" s="12" t="n">
        <v>22.62502959727254</v>
      </c>
      <c r="L31" s="11" t="n">
        <v>-7476508.17</v>
      </c>
      <c r="M31" s="12" t="n">
        <v>-52.37497040272746</v>
      </c>
      <c r="N31" s="11" t="n">
        <v>4306286.44</v>
      </c>
      <c r="O31" s="11" t="n">
        <v>-9968677.560000001</v>
      </c>
      <c r="P31" t="inlineStr">
        <is>
          <t>Below pace</t>
        </is>
      </c>
      <c r="Q31" s="11" t="n">
        <v>7476508.17</v>
      </c>
    </row>
    <row r="32">
      <c r="A32" t="inlineStr">
        <is>
          <t>Austin Energy</t>
        </is>
      </c>
      <c r="B32" t="inlineStr">
        <is>
          <t>Austin Energy Fund</t>
        </is>
      </c>
      <c r="C32" t="inlineStr">
        <is>
          <t>Electric System</t>
        </is>
      </c>
      <c r="D32" t="inlineStr">
        <is>
          <t>Personnel &amp; benefits</t>
        </is>
      </c>
      <c r="E32" s="11" t="n">
        <v>105010315</v>
      </c>
      <c r="F32" s="11" t="n">
        <v>85979577.98999999</v>
      </c>
      <c r="G32" t="n">
        <v>573</v>
      </c>
      <c r="H32" s="12" t="n">
        <v>75</v>
      </c>
      <c r="I32" s="11" t="n">
        <v>78757736.25</v>
      </c>
      <c r="J32" s="11" t="n">
        <v>19030737.01000001</v>
      </c>
      <c r="K32" s="12" t="n">
        <v>81.87726890448809</v>
      </c>
      <c r="L32" s="11" t="n">
        <v>7221841.739999995</v>
      </c>
      <c r="M32" s="12" t="n">
        <v>6.877268904488091</v>
      </c>
      <c r="N32" s="11" t="n">
        <v>114639437.32</v>
      </c>
      <c r="O32" s="11" t="n">
        <v>9629122.319999993</v>
      </c>
      <c r="P32" t="inlineStr">
        <is>
          <t>Above pace</t>
        </is>
      </c>
      <c r="Q32" s="11" t="n">
        <v>7221841.739999995</v>
      </c>
    </row>
    <row r="33">
      <c r="A33" t="inlineStr">
        <is>
          <t>Austin Convention Center</t>
        </is>
      </c>
      <c r="B33" t="inlineStr">
        <is>
          <t>Convention Center Capital Fund</t>
        </is>
      </c>
      <c r="C33" t="inlineStr">
        <is>
          <t>Transfers, Debt Service, and Other Requirements</t>
        </is>
      </c>
      <c r="D33" t="inlineStr">
        <is>
          <t>Transfers &amp; debt service</t>
        </is>
      </c>
      <c r="E33" s="11" t="n">
        <v>37306706</v>
      </c>
      <c r="F33" s="11" t="n">
        <v>20858638</v>
      </c>
      <c r="G33" t="n">
        <v>2</v>
      </c>
      <c r="H33" s="12" t="n">
        <v>75</v>
      </c>
      <c r="I33" s="11" t="n">
        <v>27980029.5</v>
      </c>
      <c r="J33" s="11" t="n">
        <v>16448068</v>
      </c>
      <c r="K33" s="12" t="n">
        <v>55.91122947172018</v>
      </c>
      <c r="L33" s="11" t="n">
        <v>-7121391.5</v>
      </c>
      <c r="M33" s="12" t="n">
        <v>-19.08877052827982</v>
      </c>
      <c r="N33" s="11" t="n">
        <v>27811517.33333333</v>
      </c>
      <c r="O33" s="11" t="n">
        <v>-9495188.666666668</v>
      </c>
      <c r="P33" t="inlineStr">
        <is>
          <t>Below pace</t>
        </is>
      </c>
      <c r="Q33" s="11" t="n">
        <v>7121391.5</v>
      </c>
    </row>
    <row r="34">
      <c r="A34" t="inlineStr">
        <is>
          <t>Office of Arts, Culture, Music and Entertainment</t>
        </is>
      </c>
      <c r="B34" t="inlineStr">
        <is>
          <t>Cultural Arts Fund</t>
        </is>
      </c>
      <c r="C34" t="inlineStr">
        <is>
          <t>Cultural Arts</t>
        </is>
      </c>
      <c r="D34" t="inlineStr">
        <is>
          <t>Grants &amp; contributions</t>
        </is>
      </c>
      <c r="E34" s="11" t="n">
        <v>14932838</v>
      </c>
      <c r="F34" s="11" t="n">
        <v>4107424.75</v>
      </c>
      <c r="G34" t="n">
        <v>8</v>
      </c>
      <c r="H34" s="12" t="n">
        <v>75</v>
      </c>
      <c r="I34" s="11" t="n">
        <v>11199628.5</v>
      </c>
      <c r="J34" s="11" t="n">
        <v>10825413.25</v>
      </c>
      <c r="K34" s="12" t="n">
        <v>27.50598881471828</v>
      </c>
      <c r="L34" s="11" t="n">
        <v>-7092203.75</v>
      </c>
      <c r="M34" s="12" t="n">
        <v>-47.49401118528172</v>
      </c>
      <c r="N34" s="11" t="n">
        <v>5476566.333333333</v>
      </c>
      <c r="O34" s="11" t="n">
        <v>-9456271.666666668</v>
      </c>
      <c r="P34" t="inlineStr">
        <is>
          <t>Below pace</t>
        </is>
      </c>
      <c r="Q34" s="11" t="n">
        <v>7092203.75</v>
      </c>
    </row>
    <row r="35">
      <c r="A35" t="inlineStr">
        <is>
          <t>Fire</t>
        </is>
      </c>
      <c r="B35" t="inlineStr">
        <is>
          <t>General Fund</t>
        </is>
      </c>
      <c r="C35" t="inlineStr">
        <is>
          <t>Fire / Emergency Response</t>
        </is>
      </c>
      <c r="D35" t="inlineStr">
        <is>
          <t>Other operating costs</t>
        </is>
      </c>
      <c r="E35" s="11" t="n">
        <v>8942594</v>
      </c>
      <c r="F35" s="11" t="n">
        <v>13768717.43</v>
      </c>
      <c r="G35" t="n">
        <v>211</v>
      </c>
      <c r="H35" s="12" t="n">
        <v>75</v>
      </c>
      <c r="I35" s="11" t="n">
        <v>6706945.5</v>
      </c>
      <c r="J35" s="11" t="n">
        <v>-4826123.430000002</v>
      </c>
      <c r="K35" s="12" t="n">
        <v>153.9678244366232</v>
      </c>
      <c r="L35" s="11" t="n">
        <v>7061771.930000002</v>
      </c>
      <c r="M35" s="12" t="n">
        <v>78.96782443662323</v>
      </c>
      <c r="N35" s="11" t="n">
        <v>18358289.90666667</v>
      </c>
      <c r="O35" s="11" t="n">
        <v>9415695.90666667</v>
      </c>
      <c r="P35" t="inlineStr">
        <is>
          <t>Above pace</t>
        </is>
      </c>
      <c r="Q35" s="11" t="n">
        <v>7061771.930000002</v>
      </c>
    </row>
    <row r="36">
      <c r="A36" t="inlineStr">
        <is>
          <t>Neighborhood Housing &amp; Community Development</t>
        </is>
      </c>
      <c r="B36" t="inlineStr">
        <is>
          <t>Neighborhood Housing-Housing Trust Fund</t>
        </is>
      </c>
      <c r="C36" t="inlineStr">
        <is>
          <t>Housing</t>
        </is>
      </c>
      <c r="D36" t="inlineStr">
        <is>
          <t>Grants &amp; contributions</t>
        </is>
      </c>
      <c r="E36" s="11" t="n">
        <v>7700000</v>
      </c>
      <c r="F36" s="11" t="n">
        <v>0</v>
      </c>
      <c r="G36" t="n">
        <v>1</v>
      </c>
      <c r="H36" s="12" t="n">
        <v>75</v>
      </c>
      <c r="I36" s="11" t="n">
        <v>5775000</v>
      </c>
      <c r="J36" s="11" t="n">
        <v>7700000</v>
      </c>
      <c r="K36" s="12" t="n">
        <v>0</v>
      </c>
      <c r="L36" s="11" t="n">
        <v>-5775000</v>
      </c>
      <c r="M36" s="12" t="n">
        <v>-75</v>
      </c>
      <c r="N36" s="11" t="n">
        <v>0</v>
      </c>
      <c r="O36" s="11" t="n">
        <v>-7700000</v>
      </c>
      <c r="P36" t="inlineStr">
        <is>
          <t>Below pace</t>
        </is>
      </c>
      <c r="Q36" s="11" t="n">
        <v>5775000</v>
      </c>
    </row>
    <row r="37">
      <c r="A37" t="inlineStr">
        <is>
          <t>Austin Convention Center</t>
        </is>
      </c>
      <c r="B37" t="inlineStr">
        <is>
          <t>Convention Center Tax Fund</t>
        </is>
      </c>
      <c r="C37" t="inlineStr">
        <is>
          <t>Transfers, Debt Service, and Other Requirements</t>
        </is>
      </c>
      <c r="D37" t="inlineStr">
        <is>
          <t>Transfers &amp; debt service</t>
        </is>
      </c>
      <c r="E37" s="11" t="n">
        <v>68496708</v>
      </c>
      <c r="F37" s="11" t="n">
        <v>57080590</v>
      </c>
      <c r="G37" t="n">
        <v>1</v>
      </c>
      <c r="H37" s="12" t="n">
        <v>75</v>
      </c>
      <c r="I37" s="11" t="n">
        <v>51372531</v>
      </c>
      <c r="J37" s="11" t="n">
        <v>11416118</v>
      </c>
      <c r="K37" s="12" t="n">
        <v>83.33333333333333</v>
      </c>
      <c r="L37" s="11" t="n">
        <v>5708059</v>
      </c>
      <c r="M37" s="12" t="n">
        <v>8.333333333333329</v>
      </c>
      <c r="N37" s="11" t="n">
        <v>76107453.33333333</v>
      </c>
      <c r="O37" s="11" t="n">
        <v>7610745.333333328</v>
      </c>
      <c r="P37" t="inlineStr">
        <is>
          <t>Above pace</t>
        </is>
      </c>
      <c r="Q37" s="11" t="n">
        <v>5708059</v>
      </c>
    </row>
    <row r="38">
      <c r="A38" t="inlineStr">
        <is>
          <t>Austin Energy</t>
        </is>
      </c>
      <c r="B38" t="inlineStr">
        <is>
          <t>Austin Energy Fund</t>
        </is>
      </c>
      <c r="C38" t="inlineStr">
        <is>
          <t>Support Services</t>
        </is>
      </c>
      <c r="D38" t="inlineStr">
        <is>
          <t>Personnel &amp; benefits</t>
        </is>
      </c>
      <c r="E38" s="11" t="n">
        <v>75409142</v>
      </c>
      <c r="F38" s="11" t="n">
        <v>62237831.65</v>
      </c>
      <c r="G38" t="n">
        <v>441</v>
      </c>
      <c r="H38" s="12" t="n">
        <v>75</v>
      </c>
      <c r="I38" s="11" t="n">
        <v>56556856.5</v>
      </c>
      <c r="J38" s="11" t="n">
        <v>13171310.35</v>
      </c>
      <c r="K38" s="12" t="n">
        <v>82.53353638475292</v>
      </c>
      <c r="L38" s="11" t="n">
        <v>5680975.149999999</v>
      </c>
      <c r="M38" s="12" t="n">
        <v>7.533536384752921</v>
      </c>
      <c r="N38" s="11" t="n">
        <v>82983775.53333333</v>
      </c>
      <c r="O38" s="11" t="n">
        <v>7574633.533333331</v>
      </c>
      <c r="P38" t="inlineStr">
        <is>
          <t>Above pace</t>
        </is>
      </c>
      <c r="Q38" s="11" t="n">
        <v>5680975.149999999</v>
      </c>
    </row>
    <row r="39">
      <c r="A39" t="inlineStr">
        <is>
          <t>Austin Energy</t>
        </is>
      </c>
      <c r="B39" t="inlineStr">
        <is>
          <t>Austin Energy Fund</t>
        </is>
      </c>
      <c r="C39" t="inlineStr">
        <is>
          <t>Support Services</t>
        </is>
      </c>
      <c r="D39" t="inlineStr">
        <is>
          <t>Contractual services</t>
        </is>
      </c>
      <c r="E39" s="11" t="n">
        <v>42184932</v>
      </c>
      <c r="F39" s="11" t="n">
        <v>26046362.85</v>
      </c>
      <c r="G39" t="n">
        <v>186</v>
      </c>
      <c r="H39" s="12" t="n">
        <v>75</v>
      </c>
      <c r="I39" s="11" t="n">
        <v>31638699</v>
      </c>
      <c r="J39" s="11" t="n">
        <v>16138569.15</v>
      </c>
      <c r="K39" s="12" t="n">
        <v>61.74328513792555</v>
      </c>
      <c r="L39" s="11" t="n">
        <v>-5592336.150000002</v>
      </c>
      <c r="M39" s="12" t="n">
        <v>-13.25671486207445</v>
      </c>
      <c r="N39" s="11" t="n">
        <v>34728483.8</v>
      </c>
      <c r="O39" s="11" t="n">
        <v>-7456448.200000003</v>
      </c>
      <c r="P39" t="inlineStr">
        <is>
          <t>Below pace</t>
        </is>
      </c>
      <c r="Q39" s="11" t="n">
        <v>5592336.150000002</v>
      </c>
    </row>
    <row r="40">
      <c r="A40" t="inlineStr">
        <is>
          <t>Austin Convention Center</t>
        </is>
      </c>
      <c r="B40" t="inlineStr">
        <is>
          <t>Convention Center Expansion</t>
        </is>
      </c>
      <c r="C40" t="inlineStr">
        <is>
          <t>Interfund Transfers-Other</t>
        </is>
      </c>
      <c r="D40" t="inlineStr">
        <is>
          <t>Transfers &amp; debt service</t>
        </is>
      </c>
      <c r="E40" s="11" t="n">
        <v>7000000</v>
      </c>
      <c r="F40" s="11" t="n">
        <v>0</v>
      </c>
      <c r="G40" t="n">
        <v>1</v>
      </c>
      <c r="H40" s="12" t="n">
        <v>75</v>
      </c>
      <c r="I40" s="11" t="n">
        <v>5250000</v>
      </c>
      <c r="J40" s="11" t="n">
        <v>7000000</v>
      </c>
      <c r="K40" s="12" t="n">
        <v>0</v>
      </c>
      <c r="L40" s="11" t="n">
        <v>-5250000</v>
      </c>
      <c r="M40" s="12" t="n">
        <v>-75</v>
      </c>
      <c r="N40" s="11" t="n">
        <v>0</v>
      </c>
      <c r="O40" s="11" t="n">
        <v>-7000000</v>
      </c>
      <c r="P40" t="inlineStr">
        <is>
          <t>Below pace</t>
        </is>
      </c>
      <c r="Q40" s="11" t="n">
        <v>5250000</v>
      </c>
    </row>
    <row r="41">
      <c r="A41" t="inlineStr">
        <is>
          <t>Austin Water</t>
        </is>
      </c>
      <c r="B41" t="inlineStr">
        <is>
          <t>W-Water Impact Fees</t>
        </is>
      </c>
      <c r="C41" t="inlineStr">
        <is>
          <t>Water Cip Transfers To</t>
        </is>
      </c>
      <c r="D41" t="inlineStr">
        <is>
          <t>Transfers &amp; debt service</t>
        </is>
      </c>
      <c r="E41" s="11" t="n">
        <v>20010000</v>
      </c>
      <c r="F41" s="11" t="n">
        <v>20006546.49</v>
      </c>
      <c r="G41" t="n">
        <v>1</v>
      </c>
      <c r="H41" s="12" t="n">
        <v>75</v>
      </c>
      <c r="I41" s="11" t="n">
        <v>15007500</v>
      </c>
      <c r="J41" s="11" t="n">
        <v>3453.510000001639</v>
      </c>
      <c r="K41" s="12" t="n">
        <v>99.98274107946024</v>
      </c>
      <c r="L41" s="11" t="n">
        <v>4999046.489999998</v>
      </c>
      <c r="M41" s="12" t="n">
        <v>24.98274107946025</v>
      </c>
      <c r="N41" s="11" t="n">
        <v>26675395.32</v>
      </c>
      <c r="O41" s="11" t="n">
        <v>6665395.319999997</v>
      </c>
      <c r="P41" t="inlineStr">
        <is>
          <t>Above pace</t>
        </is>
      </c>
      <c r="Q41" s="11" t="n">
        <v>4999046.489999998</v>
      </c>
    </row>
    <row r="42">
      <c r="A42" t="inlineStr">
        <is>
          <t>Fleet Services</t>
        </is>
      </c>
      <c r="B42" t="inlineStr">
        <is>
          <t>Fleet Services Fund</t>
        </is>
      </c>
      <c r="C42" t="inlineStr">
        <is>
          <t>Fleet Service Centers</t>
        </is>
      </c>
      <c r="D42" t="inlineStr">
        <is>
          <t>Supplies, technology &amp; equipment</t>
        </is>
      </c>
      <c r="E42" s="11" t="n">
        <v>18284721</v>
      </c>
      <c r="F42" s="11" t="n">
        <v>18382966.55</v>
      </c>
      <c r="G42" t="n">
        <v>114</v>
      </c>
      <c r="H42" s="12" t="n">
        <v>75</v>
      </c>
      <c r="I42" s="11" t="n">
        <v>13713540.75</v>
      </c>
      <c r="J42" s="11" t="n">
        <v>-98245.55000000076</v>
      </c>
      <c r="K42" s="12" t="n">
        <v>100.5373095383845</v>
      </c>
      <c r="L42" s="11" t="n">
        <v>4669425.800000001</v>
      </c>
      <c r="M42" s="12" t="n">
        <v>25.53730953838453</v>
      </c>
      <c r="N42" s="11" t="n">
        <v>24510622.06666666</v>
      </c>
      <c r="O42" s="11" t="n">
        <v>6225901.066666666</v>
      </c>
      <c r="P42" t="inlineStr">
        <is>
          <t>Above pace</t>
        </is>
      </c>
      <c r="Q42" s="11" t="n">
        <v>4669425.800000001</v>
      </c>
    </row>
    <row r="43">
      <c r="A43" t="inlineStr">
        <is>
          <t>Police</t>
        </is>
      </c>
      <c r="B43" t="inlineStr">
        <is>
          <t>General Fund</t>
        </is>
      </c>
      <c r="C43" t="inlineStr">
        <is>
          <t>Operations Support</t>
        </is>
      </c>
      <c r="D43" t="inlineStr">
        <is>
          <t>Personnel &amp; benefits</t>
        </is>
      </c>
      <c r="E43" s="11" t="n">
        <v>45713510</v>
      </c>
      <c r="F43" s="11" t="n">
        <v>38870852.9</v>
      </c>
      <c r="G43" t="n">
        <v>213</v>
      </c>
      <c r="H43" s="12" t="n">
        <v>75</v>
      </c>
      <c r="I43" s="11" t="n">
        <v>34285132.5</v>
      </c>
      <c r="J43" s="11" t="n">
        <v>6842657.100000001</v>
      </c>
      <c r="K43" s="12" t="n">
        <v>85.03143359588883</v>
      </c>
      <c r="L43" s="11" t="n">
        <v>4585720.399999999</v>
      </c>
      <c r="M43" s="12" t="n">
        <v>10.03143359588883</v>
      </c>
      <c r="N43" s="11" t="n">
        <v>51827803.86666667</v>
      </c>
      <c r="O43" s="11" t="n">
        <v>6114293.866666667</v>
      </c>
      <c r="P43" t="inlineStr">
        <is>
          <t>Above pace</t>
        </is>
      </c>
      <c r="Q43" s="11" t="n">
        <v>4585720.399999999</v>
      </c>
    </row>
    <row r="44">
      <c r="A44" t="inlineStr">
        <is>
          <t>Emergency Medical Services</t>
        </is>
      </c>
      <c r="B44" t="inlineStr">
        <is>
          <t>General Fund</t>
        </is>
      </c>
      <c r="C44" t="inlineStr">
        <is>
          <t>Operations</t>
        </is>
      </c>
      <c r="D44" t="inlineStr">
        <is>
          <t>Other operating costs</t>
        </is>
      </c>
      <c r="E44" s="11" t="n">
        <v>11111018</v>
      </c>
      <c r="F44" s="11" t="n">
        <v>12822110.18</v>
      </c>
      <c r="G44" t="n">
        <v>111</v>
      </c>
      <c r="H44" s="12" t="n">
        <v>75</v>
      </c>
      <c r="I44" s="11" t="n">
        <v>8333263.5</v>
      </c>
      <c r="J44" s="11" t="n">
        <v>-1711092.18</v>
      </c>
      <c r="K44" s="12" t="n">
        <v>115.3999586716537</v>
      </c>
      <c r="L44" s="11" t="n">
        <v>4488846.68</v>
      </c>
      <c r="M44" s="12" t="n">
        <v>40.39995867165366</v>
      </c>
      <c r="N44" s="11" t="n">
        <v>17096146.90666667</v>
      </c>
      <c r="O44" s="11" t="n">
        <v>5985128.906666666</v>
      </c>
      <c r="P44" t="inlineStr">
        <is>
          <t>Above pace</t>
        </is>
      </c>
      <c r="Q44" s="11" t="n">
        <v>4488846.68</v>
      </c>
    </row>
    <row r="45">
      <c r="A45" t="inlineStr">
        <is>
          <t>Police</t>
        </is>
      </c>
      <c r="B45" t="inlineStr">
        <is>
          <t>General Fund</t>
        </is>
      </c>
      <c r="C45" t="inlineStr">
        <is>
          <t>Transfers, Debt Service, and Other Requirements</t>
        </is>
      </c>
      <c r="D45" t="inlineStr">
        <is>
          <t>Other operating costs</t>
        </is>
      </c>
      <c r="E45" s="11" t="n">
        <v>53010117</v>
      </c>
      <c r="F45" s="11" t="n">
        <v>44154099.9</v>
      </c>
      <c r="G45" t="n">
        <v>12</v>
      </c>
      <c r="H45" s="12" t="n">
        <v>75</v>
      </c>
      <c r="I45" s="11" t="n">
        <v>39757587.75</v>
      </c>
      <c r="J45" s="11" t="n">
        <v>8856017.100000001</v>
      </c>
      <c r="K45" s="12" t="n">
        <v>83.29372278125702</v>
      </c>
      <c r="L45" s="11" t="n">
        <v>4396512.149999999</v>
      </c>
      <c r="M45" s="12" t="n">
        <v>8.293722781257017</v>
      </c>
      <c r="N45" s="11" t="n">
        <v>58872133.2</v>
      </c>
      <c r="O45" s="11" t="n">
        <v>5862016.199999996</v>
      </c>
      <c r="P45" t="inlineStr">
        <is>
          <t>Above pace</t>
        </is>
      </c>
      <c r="Q45" s="11" t="n">
        <v>4396512.149999999</v>
      </c>
    </row>
    <row r="46">
      <c r="A46" t="inlineStr">
        <is>
          <t>Homeless Strategy Office</t>
        </is>
      </c>
      <c r="B46" t="inlineStr">
        <is>
          <t>Neighborhood Housing-Housing Trust Fund</t>
        </is>
      </c>
      <c r="C46" t="inlineStr">
        <is>
          <t>Homeless Diversion Services</t>
        </is>
      </c>
      <c r="D46" t="inlineStr">
        <is>
          <t>Other operating costs</t>
        </is>
      </c>
      <c r="E46" s="11" t="n">
        <v>0</v>
      </c>
      <c r="F46" s="11" t="n">
        <v>4279899.1</v>
      </c>
      <c r="G46" t="n">
        <v>2</v>
      </c>
      <c r="H46" s="12" t="n">
        <v>75</v>
      </c>
      <c r="I46" s="11" t="n">
        <v>0</v>
      </c>
      <c r="J46" s="11" t="n">
        <v>-4279899.1</v>
      </c>
      <c r="K46" s="12" t="n"/>
      <c r="L46" s="11" t="n">
        <v>4279899.1</v>
      </c>
      <c r="M46" s="12" t="n"/>
      <c r="N46" s="11" t="n">
        <v>5706532.133333333</v>
      </c>
      <c r="O46" s="11" t="n">
        <v>5706532.133333333</v>
      </c>
      <c r="P46" t="inlineStr">
        <is>
          <t>Review: spend without budget</t>
        </is>
      </c>
      <c r="Q46" s="11" t="n">
        <v>4279899.1</v>
      </c>
    </row>
    <row r="47">
      <c r="A47" t="inlineStr">
        <is>
          <t>Austin Water</t>
        </is>
      </c>
      <c r="B47" t="inlineStr">
        <is>
          <t>Austin Water Wastewater Utility Operating Fund</t>
        </is>
      </c>
      <c r="C47" t="inlineStr">
        <is>
          <t>Support Services</t>
        </is>
      </c>
      <c r="D47" t="inlineStr">
        <is>
          <t>Personnel &amp; benefits</t>
        </is>
      </c>
      <c r="E47" s="11" t="n">
        <v>18838411</v>
      </c>
      <c r="F47" s="11" t="n">
        <v>18286036.07</v>
      </c>
      <c r="G47" t="n">
        <v>297</v>
      </c>
      <c r="H47" s="12" t="n">
        <v>75</v>
      </c>
      <c r="I47" s="11" t="n">
        <v>14128808.25</v>
      </c>
      <c r="J47" s="11" t="n">
        <v>552374.9299999997</v>
      </c>
      <c r="K47" s="12" t="n">
        <v>97.06782631507508</v>
      </c>
      <c r="L47" s="11" t="n">
        <v>4157227.82</v>
      </c>
      <c r="M47" s="12" t="n">
        <v>22.06782631507508</v>
      </c>
      <c r="N47" s="11" t="n">
        <v>24381381.42666667</v>
      </c>
      <c r="O47" s="11" t="n">
        <v>5542970.426666666</v>
      </c>
      <c r="P47" t="inlineStr">
        <is>
          <t>Above pace</t>
        </is>
      </c>
      <c r="Q47" s="11" t="n">
        <v>4157227.82</v>
      </c>
    </row>
    <row r="48">
      <c r="A48" t="inlineStr">
        <is>
          <t>Austin Energy</t>
        </is>
      </c>
      <c r="B48" t="inlineStr">
        <is>
          <t>Austin Energy Fund</t>
        </is>
      </c>
      <c r="C48" t="inlineStr">
        <is>
          <t>Customer Care</t>
        </is>
      </c>
      <c r="D48" t="inlineStr">
        <is>
          <t>Personnel &amp; benefits</t>
        </is>
      </c>
      <c r="E48" s="11" t="n">
        <v>51002653</v>
      </c>
      <c r="F48" s="11" t="n">
        <v>42386866.5</v>
      </c>
      <c r="G48" t="n">
        <v>386</v>
      </c>
      <c r="H48" s="12" t="n">
        <v>75</v>
      </c>
      <c r="I48" s="11" t="n">
        <v>38251989.75</v>
      </c>
      <c r="J48" s="11" t="n">
        <v>8615786.5</v>
      </c>
      <c r="K48" s="12" t="n">
        <v>83.10717973827754</v>
      </c>
      <c r="L48" s="11" t="n">
        <v>4134876.75</v>
      </c>
      <c r="M48" s="12" t="n">
        <v>8.107179738277537</v>
      </c>
      <c r="N48" s="11" t="n">
        <v>56515822</v>
      </c>
      <c r="O48" s="11" t="n">
        <v>5513169</v>
      </c>
      <c r="P48" t="inlineStr">
        <is>
          <t>Above pace</t>
        </is>
      </c>
      <c r="Q48" s="11" t="n">
        <v>4134876.75</v>
      </c>
    </row>
    <row r="49">
      <c r="A49" t="inlineStr">
        <is>
          <t>Police</t>
        </is>
      </c>
      <c r="B49" t="inlineStr">
        <is>
          <t>General Fund</t>
        </is>
      </c>
      <c r="C49" t="inlineStr">
        <is>
          <t>Neighborhood-Based Policing</t>
        </is>
      </c>
      <c r="D49" t="inlineStr">
        <is>
          <t>Personnel &amp; benefits</t>
        </is>
      </c>
      <c r="E49" s="11" t="n">
        <v>161473310</v>
      </c>
      <c r="F49" s="11" t="n">
        <v>125111155.14</v>
      </c>
      <c r="G49" t="n">
        <v>414</v>
      </c>
      <c r="H49" s="12" t="n">
        <v>75</v>
      </c>
      <c r="I49" s="11" t="n">
        <v>121104982.5</v>
      </c>
      <c r="J49" s="11" t="n">
        <v>36362154.86</v>
      </c>
      <c r="K49" s="12" t="n">
        <v>77.48101227379311</v>
      </c>
      <c r="L49" s="11" t="n">
        <v>4006172.640000001</v>
      </c>
      <c r="M49" s="12" t="n">
        <v>2.481012273793112</v>
      </c>
      <c r="N49" s="11" t="n">
        <v>166814873.52</v>
      </c>
      <c r="O49" s="11" t="n">
        <v>5341563.520000011</v>
      </c>
      <c r="P49" t="inlineStr">
        <is>
          <t>Near pace</t>
        </is>
      </c>
      <c r="Q49" s="11" t="n">
        <v>4006172.640000001</v>
      </c>
    </row>
    <row r="50">
      <c r="A50" t="inlineStr">
        <is>
          <t>Law</t>
        </is>
      </c>
      <c r="B50" t="inlineStr">
        <is>
          <t>Liability Reserve Fund</t>
        </is>
      </c>
      <c r="C50" t="inlineStr">
        <is>
          <t>Liability Reserve</t>
        </is>
      </c>
      <c r="D50" t="inlineStr">
        <is>
          <t>Other operating costs</t>
        </is>
      </c>
      <c r="E50" s="11" t="n">
        <v>6801000</v>
      </c>
      <c r="F50" s="11" t="n">
        <v>1104762.43</v>
      </c>
      <c r="G50" t="n">
        <v>67</v>
      </c>
      <c r="H50" s="12" t="n">
        <v>75</v>
      </c>
      <c r="I50" s="11" t="n">
        <v>5100750</v>
      </c>
      <c r="J50" s="11" t="n">
        <v>5696237.57</v>
      </c>
      <c r="K50" s="12" t="n">
        <v>16.24411748272313</v>
      </c>
      <c r="L50" s="11" t="n">
        <v>-3995987.57</v>
      </c>
      <c r="M50" s="12" t="n">
        <v>-58.75588251727687</v>
      </c>
      <c r="N50" s="11" t="n">
        <v>1473016.573333334</v>
      </c>
      <c r="O50" s="11" t="n">
        <v>-5327983.426666667</v>
      </c>
      <c r="P50" t="inlineStr">
        <is>
          <t>Below pace</t>
        </is>
      </c>
      <c r="Q50" s="11" t="n">
        <v>3995987.57</v>
      </c>
    </row>
    <row r="51">
      <c r="A51" t="inlineStr">
        <is>
          <t>Austin Convention Center</t>
        </is>
      </c>
      <c r="B51" t="inlineStr">
        <is>
          <t>Convention Center Operating Fund</t>
        </is>
      </c>
      <c r="C51" t="inlineStr">
        <is>
          <t>Transfers, Debt Service, and Other Requirements</t>
        </is>
      </c>
      <c r="D51" t="inlineStr">
        <is>
          <t>Transfers &amp; debt service</t>
        </is>
      </c>
      <c r="E51" s="11" t="n">
        <v>27431442</v>
      </c>
      <c r="F51" s="11" t="n">
        <v>24535830.1</v>
      </c>
      <c r="G51" t="n">
        <v>8</v>
      </c>
      <c r="H51" s="12" t="n">
        <v>75</v>
      </c>
      <c r="I51" s="11" t="n">
        <v>20573581.5</v>
      </c>
      <c r="J51" s="11" t="n">
        <v>2895611.899999999</v>
      </c>
      <c r="K51" s="12" t="n">
        <v>89.44418634645601</v>
      </c>
      <c r="L51" s="11" t="n">
        <v>3962248.600000001</v>
      </c>
      <c r="M51" s="12" t="n">
        <v>14.44418634645601</v>
      </c>
      <c r="N51" s="11" t="n">
        <v>32714440.13333334</v>
      </c>
      <c r="O51" s="11" t="n">
        <v>5282998.133333337</v>
      </c>
      <c r="P51" t="inlineStr">
        <is>
          <t>Above pace</t>
        </is>
      </c>
      <c r="Q51" s="11" t="n">
        <v>3962248.600000001</v>
      </c>
    </row>
    <row r="52">
      <c r="A52" t="inlineStr">
        <is>
          <t>Homeless Strategy Office</t>
        </is>
      </c>
      <c r="B52" t="inlineStr">
        <is>
          <t>Neighborhood Housing-Housing Trust Fund</t>
        </is>
      </c>
      <c r="C52" t="inlineStr">
        <is>
          <t>Homeless Diversion Services</t>
        </is>
      </c>
      <c r="D52" t="inlineStr">
        <is>
          <t>Grants &amp; contributions</t>
        </is>
      </c>
      <c r="E52" s="11" t="n">
        <v>5057474</v>
      </c>
      <c r="F52" s="11" t="n">
        <v>0</v>
      </c>
      <c r="G52" t="n">
        <v>2</v>
      </c>
      <c r="H52" s="12" t="n">
        <v>75</v>
      </c>
      <c r="I52" s="11" t="n">
        <v>3793105.5</v>
      </c>
      <c r="J52" s="11" t="n">
        <v>5057474</v>
      </c>
      <c r="K52" s="12" t="n">
        <v>0</v>
      </c>
      <c r="L52" s="11" t="n">
        <v>-3793105.5</v>
      </c>
      <c r="M52" s="12" t="n">
        <v>-75</v>
      </c>
      <c r="N52" s="11" t="n">
        <v>0</v>
      </c>
      <c r="O52" s="11" t="n">
        <v>-5057474</v>
      </c>
      <c r="P52" t="inlineStr">
        <is>
          <t>Below pace</t>
        </is>
      </c>
      <c r="Q52" s="11" t="n">
        <v>3793105.5</v>
      </c>
    </row>
    <row r="53">
      <c r="A53" t="inlineStr">
        <is>
          <t>Neighborhood Housing &amp; Community Development</t>
        </is>
      </c>
      <c r="B53" t="inlineStr">
        <is>
          <t>Neighborhood Housing University Neighborhood Overlay Fund</t>
        </is>
      </c>
      <c r="C53" t="inlineStr">
        <is>
          <t>Housing</t>
        </is>
      </c>
      <c r="D53" t="inlineStr">
        <is>
          <t>Grants &amp; contributions</t>
        </is>
      </c>
      <c r="E53" s="11" t="n">
        <v>4956769</v>
      </c>
      <c r="F53" s="11" t="n">
        <v>0</v>
      </c>
      <c r="G53" t="n">
        <v>2</v>
      </c>
      <c r="H53" s="12" t="n">
        <v>75</v>
      </c>
      <c r="I53" s="11" t="n">
        <v>3717576.75</v>
      </c>
      <c r="J53" s="11" t="n">
        <v>4956769</v>
      </c>
      <c r="K53" s="12" t="n">
        <v>0</v>
      </c>
      <c r="L53" s="11" t="n">
        <v>-3717576.75</v>
      </c>
      <c r="M53" s="12" t="n">
        <v>-75</v>
      </c>
      <c r="N53" s="11" t="n">
        <v>0</v>
      </c>
      <c r="O53" s="11" t="n">
        <v>-4956769</v>
      </c>
      <c r="P53" t="inlineStr">
        <is>
          <t>Below pace</t>
        </is>
      </c>
      <c r="Q53" s="11" t="n">
        <v>3717576.75</v>
      </c>
    </row>
    <row r="54">
      <c r="A54" t="inlineStr">
        <is>
          <t>Human Resources</t>
        </is>
      </c>
      <c r="B54" t="inlineStr">
        <is>
          <t>Employee Benefits Fund</t>
        </is>
      </c>
      <c r="C54" t="inlineStr">
        <is>
          <t>Retiree Medical</t>
        </is>
      </c>
      <c r="D54" t="inlineStr">
        <is>
          <t>Personnel &amp; benefits</t>
        </is>
      </c>
      <c r="E54" s="11" t="n">
        <v>44386972</v>
      </c>
      <c r="F54" s="11" t="n">
        <v>36958849.23</v>
      </c>
      <c r="G54" t="n">
        <v>6</v>
      </c>
      <c r="H54" s="12" t="n">
        <v>75</v>
      </c>
      <c r="I54" s="11" t="n">
        <v>33290229</v>
      </c>
      <c r="J54" s="11" t="n">
        <v>7428122.770000003</v>
      </c>
      <c r="K54" s="12" t="n">
        <v>83.26508334472555</v>
      </c>
      <c r="L54" s="11" t="n">
        <v>3668620.229999997</v>
      </c>
      <c r="M54" s="12" t="n">
        <v>8.265083344725554</v>
      </c>
      <c r="N54" s="11" t="n">
        <v>49278465.63999999</v>
      </c>
      <c r="O54" s="11" t="n">
        <v>4891493.639999993</v>
      </c>
      <c r="P54" t="inlineStr">
        <is>
          <t>Above pace</t>
        </is>
      </c>
      <c r="Q54" s="11" t="n">
        <v>3668620.229999997</v>
      </c>
    </row>
    <row r="55">
      <c r="A55" t="inlineStr">
        <is>
          <t>Police</t>
        </is>
      </c>
      <c r="B55" t="inlineStr">
        <is>
          <t>General Fund</t>
        </is>
      </c>
      <c r="C55" t="inlineStr">
        <is>
          <t>Investigations</t>
        </is>
      </c>
      <c r="D55" t="inlineStr">
        <is>
          <t>Other operating costs</t>
        </is>
      </c>
      <c r="E55" s="11" t="n">
        <v>8369403</v>
      </c>
      <c r="F55" s="11" t="n">
        <v>9855290.279999999</v>
      </c>
      <c r="G55" t="n">
        <v>715</v>
      </c>
      <c r="H55" s="12" t="n">
        <v>75</v>
      </c>
      <c r="I55" s="11" t="n">
        <v>6277052.25</v>
      </c>
      <c r="J55" s="11" t="n">
        <v>-1485887.279999999</v>
      </c>
      <c r="K55" s="12" t="n">
        <v>117.7538025113619</v>
      </c>
      <c r="L55" s="11" t="n">
        <v>3578238.03</v>
      </c>
      <c r="M55" s="12" t="n">
        <v>42.75380251136191</v>
      </c>
      <c r="N55" s="11" t="n">
        <v>13140387.04</v>
      </c>
      <c r="O55" s="11" t="n">
        <v>4770984.039999999</v>
      </c>
      <c r="P55" t="inlineStr">
        <is>
          <t>Above pace</t>
        </is>
      </c>
      <c r="Q55" s="11" t="n">
        <v>3578238.03</v>
      </c>
    </row>
    <row r="56">
      <c r="A56" t="inlineStr">
        <is>
          <t>Homeless Strategy Office</t>
        </is>
      </c>
      <c r="B56" t="inlineStr">
        <is>
          <t>Pay for Success Reserve Fund</t>
        </is>
      </c>
      <c r="C56" t="inlineStr">
        <is>
          <t>Pay for Success</t>
        </is>
      </c>
      <c r="D56" t="inlineStr">
        <is>
          <t>Grants &amp; contributions</t>
        </is>
      </c>
      <c r="E56" s="11" t="n">
        <v>4760739</v>
      </c>
      <c r="F56" s="11" t="n">
        <v>0</v>
      </c>
      <c r="G56" t="n">
        <v>1</v>
      </c>
      <c r="H56" s="12" t="n">
        <v>75</v>
      </c>
      <c r="I56" s="11" t="n">
        <v>3570554.25</v>
      </c>
      <c r="J56" s="11" t="n">
        <v>4760739</v>
      </c>
      <c r="K56" s="12" t="n">
        <v>0</v>
      </c>
      <c r="L56" s="11" t="n">
        <v>-3570554.25</v>
      </c>
      <c r="M56" s="12" t="n">
        <v>-75</v>
      </c>
      <c r="N56" s="11" t="n">
        <v>0</v>
      </c>
      <c r="O56" s="11" t="n">
        <v>-4760739</v>
      </c>
      <c r="P56" t="inlineStr">
        <is>
          <t>Below pace</t>
        </is>
      </c>
      <c r="Q56" s="11" t="n">
        <v>3570554.25</v>
      </c>
    </row>
    <row r="57">
      <c r="A57" t="inlineStr">
        <is>
          <t>Police</t>
        </is>
      </c>
      <c r="B57" t="inlineStr">
        <is>
          <t>General Fund</t>
        </is>
      </c>
      <c r="C57" t="inlineStr">
        <is>
          <t>Transfers, Debt Service, and Other Requirements</t>
        </is>
      </c>
      <c r="D57" t="inlineStr">
        <is>
          <t>Contractual services</t>
        </is>
      </c>
      <c r="E57" s="11" t="n">
        <v>42137410</v>
      </c>
      <c r="F57" s="11" t="n">
        <v>35130301</v>
      </c>
      <c r="G57" t="n">
        <v>1</v>
      </c>
      <c r="H57" s="12" t="n">
        <v>75</v>
      </c>
      <c r="I57" s="11" t="n">
        <v>31603057.5</v>
      </c>
      <c r="J57" s="11" t="n">
        <v>7007109</v>
      </c>
      <c r="K57" s="12" t="n">
        <v>83.37081230194262</v>
      </c>
      <c r="L57" s="11" t="n">
        <v>3527243.5</v>
      </c>
      <c r="M57" s="12" t="n">
        <v>8.370812301942621</v>
      </c>
      <c r="N57" s="11" t="n">
        <v>46840401.33333334</v>
      </c>
      <c r="O57" s="11" t="n">
        <v>4702991.333333336</v>
      </c>
      <c r="P57" t="inlineStr">
        <is>
          <t>Above pace</t>
        </is>
      </c>
      <c r="Q57" s="11" t="n">
        <v>3527243.5</v>
      </c>
    </row>
    <row r="58">
      <c r="A58" t="inlineStr">
        <is>
          <t>Austin Energy</t>
        </is>
      </c>
      <c r="B58" t="inlineStr">
        <is>
          <t>Austin Energy Fund</t>
        </is>
      </c>
      <c r="C58" t="inlineStr">
        <is>
          <t>Transfers, Debt Service, and Other Requirements</t>
        </is>
      </c>
      <c r="D58" t="inlineStr">
        <is>
          <t>Contractual services</t>
        </is>
      </c>
      <c r="E58" s="11" t="n">
        <v>42110265</v>
      </c>
      <c r="F58" s="11" t="n">
        <v>35091887.5</v>
      </c>
      <c r="G58" t="n">
        <v>1</v>
      </c>
      <c r="H58" s="12" t="n">
        <v>75</v>
      </c>
      <c r="I58" s="11" t="n">
        <v>31582698.75</v>
      </c>
      <c r="J58" s="11" t="n">
        <v>7018377.5</v>
      </c>
      <c r="K58" s="12" t="n">
        <v>83.33333333333333</v>
      </c>
      <c r="L58" s="11" t="n">
        <v>3509188.75</v>
      </c>
      <c r="M58" s="12" t="n">
        <v>8.333333333333329</v>
      </c>
      <c r="N58" s="11" t="n">
        <v>46789183.33333334</v>
      </c>
      <c r="O58" s="11" t="n">
        <v>4678918.333333336</v>
      </c>
      <c r="P58" t="inlineStr">
        <is>
          <t>Above pace</t>
        </is>
      </c>
      <c r="Q58" s="11" t="n">
        <v>3509188.75</v>
      </c>
    </row>
    <row r="59">
      <c r="A59" t="inlineStr">
        <is>
          <t>Financial Services</t>
        </is>
      </c>
      <c r="B59" t="inlineStr">
        <is>
          <t>Mueller Local Government Corp</t>
        </is>
      </c>
      <c r="C59" t="inlineStr">
        <is>
          <t>Mueller Development</t>
        </is>
      </c>
      <c r="D59" t="inlineStr">
        <is>
          <t>Transfers &amp; debt service</t>
        </is>
      </c>
      <c r="E59" s="11" t="n">
        <v>5255966</v>
      </c>
      <c r="F59" s="11" t="n">
        <v>455568.63</v>
      </c>
      <c r="G59" t="n">
        <v>2</v>
      </c>
      <c r="H59" s="12" t="n">
        <v>75</v>
      </c>
      <c r="I59" s="11" t="n">
        <v>3941974.5</v>
      </c>
      <c r="J59" s="11" t="n">
        <v>4800397.37</v>
      </c>
      <c r="K59" s="12" t="n">
        <v>8.667647964237212</v>
      </c>
      <c r="L59" s="11" t="n">
        <v>-3486405.87</v>
      </c>
      <c r="M59" s="12" t="n">
        <v>-66.3323520357628</v>
      </c>
      <c r="N59" s="11" t="n">
        <v>607424.84</v>
      </c>
      <c r="O59" s="11" t="n">
        <v>-4648541.16</v>
      </c>
      <c r="P59" t="inlineStr">
        <is>
          <t>Below pace</t>
        </is>
      </c>
      <c r="Q59" s="11" t="n">
        <v>3486405.87</v>
      </c>
    </row>
    <row r="60">
      <c r="A60" t="inlineStr">
        <is>
          <t>Police</t>
        </is>
      </c>
      <c r="B60" t="inlineStr">
        <is>
          <t>General Fund</t>
        </is>
      </c>
      <c r="C60" t="inlineStr">
        <is>
          <t>Neighborhood-Based Policing</t>
        </is>
      </c>
      <c r="D60" t="inlineStr">
        <is>
          <t>Grants &amp; contributions</t>
        </is>
      </c>
      <c r="E60" s="11" t="n">
        <v>58999918</v>
      </c>
      <c r="F60" s="11" t="n">
        <v>47502928.2</v>
      </c>
      <c r="G60" t="n">
        <v>43</v>
      </c>
      <c r="H60" s="12" t="n">
        <v>75</v>
      </c>
      <c r="I60" s="11" t="n">
        <v>44249938.5</v>
      </c>
      <c r="J60" s="11" t="n">
        <v>11496989.8</v>
      </c>
      <c r="K60" s="12" t="n">
        <v>80.51354952730613</v>
      </c>
      <c r="L60" s="11" t="n">
        <v>3252989.700000003</v>
      </c>
      <c r="M60" s="12" t="n">
        <v>5.513549527306125</v>
      </c>
      <c r="N60" s="11" t="n">
        <v>63337237.6</v>
      </c>
      <c r="O60" s="11" t="n">
        <v>4337319.600000001</v>
      </c>
      <c r="P60" t="inlineStr">
        <is>
          <t>Above pace</t>
        </is>
      </c>
      <c r="Q60" s="11" t="n">
        <v>3252989.700000003</v>
      </c>
    </row>
    <row r="61">
      <c r="A61" t="inlineStr">
        <is>
          <t>Police</t>
        </is>
      </c>
      <c r="B61" t="inlineStr">
        <is>
          <t>General Fund</t>
        </is>
      </c>
      <c r="C61" t="inlineStr">
        <is>
          <t>Professional Standards</t>
        </is>
      </c>
      <c r="D61" t="inlineStr">
        <is>
          <t>Personnel &amp; benefits</t>
        </is>
      </c>
      <c r="E61" s="11" t="n">
        <v>18426468</v>
      </c>
      <c r="F61" s="11" t="n">
        <v>17034587</v>
      </c>
      <c r="G61" t="n">
        <v>119</v>
      </c>
      <c r="H61" s="12" t="n">
        <v>75</v>
      </c>
      <c r="I61" s="11" t="n">
        <v>13819851</v>
      </c>
      <c r="J61" s="11" t="n">
        <v>1391881</v>
      </c>
      <c r="K61" s="12" t="n">
        <v>92.4462951879872</v>
      </c>
      <c r="L61" s="11" t="n">
        <v>3214736</v>
      </c>
      <c r="M61" s="12" t="n">
        <v>17.44629518798719</v>
      </c>
      <c r="N61" s="11" t="n">
        <v>22712782.66666667</v>
      </c>
      <c r="O61" s="11" t="n">
        <v>4286314.666666668</v>
      </c>
      <c r="P61" t="inlineStr">
        <is>
          <t>Above pace</t>
        </is>
      </c>
      <c r="Q61" s="11" t="n">
        <v>3214736</v>
      </c>
    </row>
    <row r="62">
      <c r="A62" t="inlineStr">
        <is>
          <t>Communications &amp; Technology Management</t>
        </is>
      </c>
      <c r="B62" t="inlineStr">
        <is>
          <t>Information and Technology Fund</t>
        </is>
      </c>
      <c r="C62" t="inlineStr">
        <is>
          <t>Support Services</t>
        </is>
      </c>
      <c r="D62" t="inlineStr">
        <is>
          <t>Personnel &amp; benefits</t>
        </is>
      </c>
      <c r="E62" s="11" t="n">
        <v>894777</v>
      </c>
      <c r="F62" s="11" t="n">
        <v>3695551.09</v>
      </c>
      <c r="G62" t="n">
        <v>36</v>
      </c>
      <c r="H62" s="12" t="n">
        <v>75</v>
      </c>
      <c r="I62" s="11" t="n">
        <v>671082.75</v>
      </c>
      <c r="J62" s="11" t="n">
        <v>-2800774.09</v>
      </c>
      <c r="K62" s="12" t="n">
        <v>413.0136436229363</v>
      </c>
      <c r="L62" s="11" t="n">
        <v>3024468.34</v>
      </c>
      <c r="M62" s="12" t="n">
        <v>338.0136436229363</v>
      </c>
      <c r="N62" s="11" t="n">
        <v>4927401.453333334</v>
      </c>
      <c r="O62" s="11" t="n">
        <v>4032624.453333334</v>
      </c>
      <c r="P62" t="inlineStr">
        <is>
          <t>Above pace</t>
        </is>
      </c>
      <c r="Q62" s="11" t="n">
        <v>3024468.34</v>
      </c>
    </row>
    <row r="63">
      <c r="A63" t="inlineStr">
        <is>
          <t>Austin Energy</t>
        </is>
      </c>
      <c r="B63" t="inlineStr">
        <is>
          <t>Austin Energy Fund</t>
        </is>
      </c>
      <c r="C63" t="inlineStr">
        <is>
          <t>Customer Care</t>
        </is>
      </c>
      <c r="D63" t="inlineStr">
        <is>
          <t>Supplies, technology &amp; equipment</t>
        </is>
      </c>
      <c r="E63" s="11" t="n">
        <v>9426627</v>
      </c>
      <c r="F63" s="11" t="n">
        <v>4145685.95</v>
      </c>
      <c r="G63" t="n">
        <v>100</v>
      </c>
      <c r="H63" s="12" t="n">
        <v>75</v>
      </c>
      <c r="I63" s="11" t="n">
        <v>7069970.25</v>
      </c>
      <c r="J63" s="11" t="n">
        <v>5280941.050000001</v>
      </c>
      <c r="K63" s="12" t="n">
        <v>43.97846599849554</v>
      </c>
      <c r="L63" s="11" t="n">
        <v>-2924284.3</v>
      </c>
      <c r="M63" s="12" t="n">
        <v>-31.02153400150446</v>
      </c>
      <c r="N63" s="11" t="n">
        <v>5527581.266666667</v>
      </c>
      <c r="O63" s="11" t="n">
        <v>-3899045.733333333</v>
      </c>
      <c r="P63" t="inlineStr">
        <is>
          <t>Below pace</t>
        </is>
      </c>
      <c r="Q63" s="11" t="n">
        <v>2924284.3</v>
      </c>
    </row>
    <row r="64">
      <c r="A64" t="inlineStr">
        <is>
          <t>Police</t>
        </is>
      </c>
      <c r="B64" t="inlineStr">
        <is>
          <t>General Fund</t>
        </is>
      </c>
      <c r="C64" t="inlineStr">
        <is>
          <t>Neighborhood-Based Policing</t>
        </is>
      </c>
      <c r="D64" t="inlineStr">
        <is>
          <t>Other operating costs</t>
        </is>
      </c>
      <c r="E64" s="11" t="n">
        <v>26305522</v>
      </c>
      <c r="F64" s="11" t="n">
        <v>22632717.96</v>
      </c>
      <c r="G64" t="n">
        <v>829</v>
      </c>
      <c r="H64" s="12" t="n">
        <v>75</v>
      </c>
      <c r="I64" s="11" t="n">
        <v>19729141.5</v>
      </c>
      <c r="J64" s="11" t="n">
        <v>3672804.039999999</v>
      </c>
      <c r="K64" s="12" t="n">
        <v>86.03789713809898</v>
      </c>
      <c r="L64" s="11" t="n">
        <v>2903576.460000001</v>
      </c>
      <c r="M64" s="12" t="n">
        <v>11.03789713809898</v>
      </c>
      <c r="N64" s="11" t="n">
        <v>30176957.28</v>
      </c>
      <c r="O64" s="11" t="n">
        <v>3871435.280000001</v>
      </c>
      <c r="P64" t="inlineStr">
        <is>
          <t>Above pace</t>
        </is>
      </c>
      <c r="Q64" s="11" t="n">
        <v>2903576.460000001</v>
      </c>
    </row>
    <row r="65">
      <c r="A65" t="inlineStr">
        <is>
          <t>Austin Resource Recovery</t>
        </is>
      </c>
      <c r="B65" t="inlineStr">
        <is>
          <t>Austin Resource Recovery Fund</t>
        </is>
      </c>
      <c r="C65" t="inlineStr">
        <is>
          <t>Collection Services</t>
        </is>
      </c>
      <c r="D65" t="inlineStr">
        <is>
          <t>Personnel &amp; benefits</t>
        </is>
      </c>
      <c r="E65" s="11" t="n">
        <v>26545876</v>
      </c>
      <c r="F65" s="11" t="n">
        <v>22811217.17</v>
      </c>
      <c r="G65" t="n">
        <v>79</v>
      </c>
      <c r="H65" s="12" t="n">
        <v>75</v>
      </c>
      <c r="I65" s="11" t="n">
        <v>19909407</v>
      </c>
      <c r="J65" s="11" t="n">
        <v>3734658.829999998</v>
      </c>
      <c r="K65" s="12" t="n">
        <v>85.93130311465329</v>
      </c>
      <c r="L65" s="11" t="n">
        <v>2901810.170000002</v>
      </c>
      <c r="M65" s="12" t="n">
        <v>10.93130311465329</v>
      </c>
      <c r="N65" s="11" t="n">
        <v>30414956.22666667</v>
      </c>
      <c r="O65" s="11" t="n">
        <v>3869080.22666667</v>
      </c>
      <c r="P65" t="inlineStr">
        <is>
          <t>Above pace</t>
        </is>
      </c>
      <c r="Q65" s="11" t="n">
        <v>2901810.170000002</v>
      </c>
    </row>
    <row r="66">
      <c r="A66" t="inlineStr">
        <is>
          <t>Austin Energy</t>
        </is>
      </c>
      <c r="B66" t="inlineStr">
        <is>
          <t>Austin Energy Fund</t>
        </is>
      </c>
      <c r="C66" t="inlineStr">
        <is>
          <t>Customer Care</t>
        </is>
      </c>
      <c r="D66" t="inlineStr">
        <is>
          <t>Other operating costs</t>
        </is>
      </c>
      <c r="E66" s="11" t="n">
        <v>-35186811</v>
      </c>
      <c r="F66" s="11" t="n">
        <v>-29289306.36</v>
      </c>
      <c r="G66" t="n">
        <v>631</v>
      </c>
      <c r="H66" s="12" t="n">
        <v>75</v>
      </c>
      <c r="I66" s="11" t="n">
        <v>-26390108.25</v>
      </c>
      <c r="J66" s="11" t="n">
        <v>-5897504.640000001</v>
      </c>
      <c r="K66" s="12" t="n">
        <v>83.23944548427535</v>
      </c>
      <c r="L66" s="11" t="n">
        <v>-2899198.109999999</v>
      </c>
      <c r="M66" s="12" t="n">
        <v>8.23944548427535</v>
      </c>
      <c r="N66" s="11" t="n">
        <v>-39052408.48</v>
      </c>
      <c r="O66" s="11" t="n">
        <v>-3865597.479999997</v>
      </c>
      <c r="P66" t="inlineStr">
        <is>
          <t>Review: non-positive budget</t>
        </is>
      </c>
      <c r="Q66" s="11" t="n">
        <v>2899198.109999999</v>
      </c>
    </row>
    <row r="67">
      <c r="A67" t="inlineStr">
        <is>
          <t>Police</t>
        </is>
      </c>
      <c r="B67" t="inlineStr">
        <is>
          <t>General Fund</t>
        </is>
      </c>
      <c r="C67" t="inlineStr">
        <is>
          <t>Operations Support</t>
        </is>
      </c>
      <c r="D67" t="inlineStr">
        <is>
          <t>Other operating costs</t>
        </is>
      </c>
      <c r="E67" s="11" t="n">
        <v>6265527</v>
      </c>
      <c r="F67" s="11" t="n">
        <v>7543062.94</v>
      </c>
      <c r="G67" t="n">
        <v>433</v>
      </c>
      <c r="H67" s="12" t="n">
        <v>75</v>
      </c>
      <c r="I67" s="11" t="n">
        <v>4699145.25</v>
      </c>
      <c r="J67" s="11" t="n">
        <v>-1277535.94</v>
      </c>
      <c r="K67" s="12" t="n">
        <v>120.3899199540597</v>
      </c>
      <c r="L67" s="11" t="n">
        <v>2843917.69</v>
      </c>
      <c r="M67" s="12" t="n">
        <v>45.38991995405974</v>
      </c>
      <c r="N67" s="11" t="n">
        <v>10057417.25333333</v>
      </c>
      <c r="O67" s="11" t="n">
        <v>3791890.253333334</v>
      </c>
      <c r="P67" t="inlineStr">
        <is>
          <t>Above pace</t>
        </is>
      </c>
      <c r="Q67" s="11" t="n">
        <v>2843917.69</v>
      </c>
    </row>
    <row r="68">
      <c r="A68" t="inlineStr">
        <is>
          <t>Austin Water</t>
        </is>
      </c>
      <c r="B68" t="inlineStr">
        <is>
          <t>Austin Water Wastewater Utility Operating Fund</t>
        </is>
      </c>
      <c r="C68" t="inlineStr">
        <is>
          <t>Operations</t>
        </is>
      </c>
      <c r="D68" t="inlineStr">
        <is>
          <t>Personnel &amp; benefits</t>
        </is>
      </c>
      <c r="E68" s="11" t="n">
        <v>38690311</v>
      </c>
      <c r="F68" s="11" t="n">
        <v>31782471.44</v>
      </c>
      <c r="G68" t="n">
        <v>202</v>
      </c>
      <c r="H68" s="12" t="n">
        <v>75</v>
      </c>
      <c r="I68" s="11" t="n">
        <v>29017733.25</v>
      </c>
      <c r="J68" s="11" t="n">
        <v>6907839.559999999</v>
      </c>
      <c r="K68" s="12" t="n">
        <v>82.14581536964126</v>
      </c>
      <c r="L68" s="11" t="n">
        <v>2764738.190000001</v>
      </c>
      <c r="M68" s="12" t="n">
        <v>7.145815369641255</v>
      </c>
      <c r="N68" s="11" t="n">
        <v>42376628.58666667</v>
      </c>
      <c r="O68" s="11" t="n">
        <v>3686317.586666666</v>
      </c>
      <c r="P68" t="inlineStr">
        <is>
          <t>Above pace</t>
        </is>
      </c>
      <c r="Q68" s="11" t="n">
        <v>2764738.190000001</v>
      </c>
    </row>
    <row r="69">
      <c r="A69" t="inlineStr">
        <is>
          <t>Nondepartmental</t>
        </is>
      </c>
      <c r="B69" t="inlineStr">
        <is>
          <t>General Fund</t>
        </is>
      </c>
      <c r="C69" t="inlineStr">
        <is>
          <t>Transfers, Debt Service, and Other Requirements</t>
        </is>
      </c>
      <c r="D69" t="inlineStr">
        <is>
          <t>Other operating costs</t>
        </is>
      </c>
      <c r="E69" s="11" t="n">
        <v>4371731</v>
      </c>
      <c r="F69" s="11" t="n">
        <v>538004.91</v>
      </c>
      <c r="G69" t="n">
        <v>1</v>
      </c>
      <c r="H69" s="12" t="n">
        <v>75</v>
      </c>
      <c r="I69" s="11" t="n">
        <v>3278798.25</v>
      </c>
      <c r="J69" s="11" t="n">
        <v>3833726.09</v>
      </c>
      <c r="K69" s="12" t="n">
        <v>12.30645046550211</v>
      </c>
      <c r="L69" s="11" t="n">
        <v>-2740793.34</v>
      </c>
      <c r="M69" s="12" t="n">
        <v>-62.69354953449789</v>
      </c>
      <c r="N69" s="11" t="n">
        <v>717339.88</v>
      </c>
      <c r="O69" s="11" t="n">
        <v>-3654391.12</v>
      </c>
      <c r="P69" t="inlineStr">
        <is>
          <t>Below pace</t>
        </is>
      </c>
      <c r="Q69" s="11" t="n">
        <v>2740793.34</v>
      </c>
    </row>
    <row r="70">
      <c r="A70" t="inlineStr">
        <is>
          <t>Austin Energy</t>
        </is>
      </c>
      <c r="B70" t="inlineStr">
        <is>
          <t>Austin Energy Fund</t>
        </is>
      </c>
      <c r="C70" t="inlineStr">
        <is>
          <t>Electric System</t>
        </is>
      </c>
      <c r="D70" t="inlineStr">
        <is>
          <t>Supplies, technology &amp; equipment</t>
        </is>
      </c>
      <c r="E70" s="11" t="n">
        <v>24251266</v>
      </c>
      <c r="F70" s="11" t="n">
        <v>15451969.81</v>
      </c>
      <c r="G70" t="n">
        <v>446</v>
      </c>
      <c r="H70" s="12" t="n">
        <v>75</v>
      </c>
      <c r="I70" s="11" t="n">
        <v>18188449.5</v>
      </c>
      <c r="J70" s="11" t="n">
        <v>8799296.189999999</v>
      </c>
      <c r="K70" s="12" t="n">
        <v>63.71613675756144</v>
      </c>
      <c r="L70" s="11" t="n">
        <v>-2736479.689999999</v>
      </c>
      <c r="M70" s="12" t="n">
        <v>-11.28386324243856</v>
      </c>
      <c r="N70" s="11" t="n">
        <v>20602626.41333333</v>
      </c>
      <c r="O70" s="11" t="n">
        <v>-3648639.586666666</v>
      </c>
      <c r="P70" t="inlineStr">
        <is>
          <t>Below pace</t>
        </is>
      </c>
      <c r="Q70" s="11" t="n">
        <v>2736479.689999999</v>
      </c>
    </row>
    <row r="71">
      <c r="A71" t="inlineStr">
        <is>
          <t>Austin Water</t>
        </is>
      </c>
      <c r="B71" t="inlineStr">
        <is>
          <t>Austin Water Community Benefit Charge Fund</t>
        </is>
      </c>
      <c r="C71" t="inlineStr">
        <is>
          <t>Transfers, Debt Service, and Other Requirements</t>
        </is>
      </c>
      <c r="D71" t="inlineStr">
        <is>
          <t>Transfers &amp; debt service</t>
        </is>
      </c>
      <c r="E71" s="11" t="n">
        <v>22190415</v>
      </c>
      <c r="F71" s="11" t="n">
        <v>13907609.61</v>
      </c>
      <c r="G71" t="n">
        <v>3</v>
      </c>
      <c r="H71" s="12" t="n">
        <v>75</v>
      </c>
      <c r="I71" s="11" t="n">
        <v>16642811.25</v>
      </c>
      <c r="J71" s="11" t="n">
        <v>8282805.390000001</v>
      </c>
      <c r="K71" s="12" t="n">
        <v>62.67395003653605</v>
      </c>
      <c r="L71" s="11" t="n">
        <v>-2735201.640000001</v>
      </c>
      <c r="M71" s="12" t="n">
        <v>-12.32604996346395</v>
      </c>
      <c r="N71" s="11" t="n">
        <v>18543479.48</v>
      </c>
      <c r="O71" s="11" t="n">
        <v>-3646935.52</v>
      </c>
      <c r="P71" t="inlineStr">
        <is>
          <t>Below pace</t>
        </is>
      </c>
      <c r="Q71" s="11" t="n">
        <v>2735201.640000001</v>
      </c>
    </row>
    <row r="72">
      <c r="A72" t="inlineStr">
        <is>
          <t>Financial Services</t>
        </is>
      </c>
      <c r="B72" t="inlineStr">
        <is>
          <t>Waller Creek Reserve Fund</t>
        </is>
      </c>
      <c r="C72" t="inlineStr">
        <is>
          <t>Transfers, Debt Service, and Other Requirements</t>
        </is>
      </c>
      <c r="D72" t="inlineStr">
        <is>
          <t>Transfers &amp; debt service</t>
        </is>
      </c>
      <c r="E72" s="11" t="n">
        <v>11197012</v>
      </c>
      <c r="F72" s="11" t="n">
        <v>11098981</v>
      </c>
      <c r="G72" t="n">
        <v>1</v>
      </c>
      <c r="H72" s="12" t="n">
        <v>75</v>
      </c>
      <c r="I72" s="11" t="n">
        <v>8397759</v>
      </c>
      <c r="J72" s="11" t="n">
        <v>98031</v>
      </c>
      <c r="K72" s="12" t="n">
        <v>99.12448964062912</v>
      </c>
      <c r="L72" s="11" t="n">
        <v>2701222</v>
      </c>
      <c r="M72" s="12" t="n">
        <v>24.12448964062912</v>
      </c>
      <c r="N72" s="11" t="n">
        <v>14798641.33333333</v>
      </c>
      <c r="O72" s="11" t="n">
        <v>3601629.333333334</v>
      </c>
      <c r="P72" t="inlineStr">
        <is>
          <t>Above pace</t>
        </is>
      </c>
      <c r="Q72" s="11" t="n">
        <v>2701222</v>
      </c>
    </row>
    <row r="73">
      <c r="A73" t="inlineStr">
        <is>
          <t>Office of Arts, Culture, Music and Entertainment</t>
        </is>
      </c>
      <c r="B73" t="inlineStr">
        <is>
          <t>Iconic Venue Fund</t>
        </is>
      </c>
      <c r="C73" t="inlineStr">
        <is>
          <t>Music and Entertainment</t>
        </is>
      </c>
      <c r="D73" t="inlineStr">
        <is>
          <t>Grants &amp; contributions</t>
        </is>
      </c>
      <c r="E73" s="11" t="n">
        <v>300000</v>
      </c>
      <c r="F73" s="11" t="n">
        <v>2900000</v>
      </c>
      <c r="G73" t="n">
        <v>1</v>
      </c>
      <c r="H73" s="12" t="n">
        <v>75</v>
      </c>
      <c r="I73" s="11" t="n">
        <v>225000</v>
      </c>
      <c r="J73" s="11" t="n">
        <v>-2600000</v>
      </c>
      <c r="K73" s="12" t="n">
        <v>966.6666666666666</v>
      </c>
      <c r="L73" s="11" t="n">
        <v>2675000</v>
      </c>
      <c r="M73" s="12" t="n">
        <v>891.6666666666666</v>
      </c>
      <c r="N73" s="11" t="n">
        <v>3866666.666666667</v>
      </c>
      <c r="O73" s="11" t="n">
        <v>3566666.666666667</v>
      </c>
      <c r="P73" t="inlineStr">
        <is>
          <t>Above pace</t>
        </is>
      </c>
      <c r="Q73" s="11" t="n">
        <v>2675000</v>
      </c>
    </row>
    <row r="74">
      <c r="A74" t="inlineStr">
        <is>
          <t>Emergency Medical Services</t>
        </is>
      </c>
      <c r="B74" t="inlineStr">
        <is>
          <t>General Fund</t>
        </is>
      </c>
      <c r="C74" t="inlineStr">
        <is>
          <t>Operations</t>
        </is>
      </c>
      <c r="D74" t="inlineStr">
        <is>
          <t>Personnel &amp; benefits</t>
        </is>
      </c>
      <c r="E74" s="11" t="n">
        <v>58364410</v>
      </c>
      <c r="F74" s="11" t="n">
        <v>46413564.59</v>
      </c>
      <c r="G74" t="n">
        <v>54</v>
      </c>
      <c r="H74" s="12" t="n">
        <v>75</v>
      </c>
      <c r="I74" s="11" t="n">
        <v>43773307.5</v>
      </c>
      <c r="J74" s="11" t="n">
        <v>11950845.41</v>
      </c>
      <c r="K74" s="12" t="n">
        <v>79.52374501858239</v>
      </c>
      <c r="L74" s="11" t="n">
        <v>2640257.090000004</v>
      </c>
      <c r="M74" s="12" t="n">
        <v>4.523745018582389</v>
      </c>
      <c r="N74" s="11" t="n">
        <v>61884752.78666667</v>
      </c>
      <c r="O74" s="11" t="n">
        <v>3520342.786666669</v>
      </c>
      <c r="P74" t="inlineStr">
        <is>
          <t>Near pace</t>
        </is>
      </c>
      <c r="Q74" s="11" t="n">
        <v>2640257.090000004</v>
      </c>
    </row>
    <row r="75">
      <c r="A75" t="inlineStr">
        <is>
          <t>Office of Arts, Culture, Music and Entertainment</t>
        </is>
      </c>
      <c r="B75" t="inlineStr">
        <is>
          <t>Live Music Fund</t>
        </is>
      </c>
      <c r="C75" t="inlineStr">
        <is>
          <t>Music and Entertainment</t>
        </is>
      </c>
      <c r="D75" t="inlineStr">
        <is>
          <t>Grants &amp; contributions</t>
        </is>
      </c>
      <c r="E75" s="11" t="n">
        <v>4800000</v>
      </c>
      <c r="F75" s="11" t="n">
        <v>968000</v>
      </c>
      <c r="G75" t="n">
        <v>1</v>
      </c>
      <c r="H75" s="12" t="n">
        <v>75</v>
      </c>
      <c r="I75" s="11" t="n">
        <v>3600000</v>
      </c>
      <c r="J75" s="11" t="n">
        <v>3832000</v>
      </c>
      <c r="K75" s="12" t="n">
        <v>20.16666666666667</v>
      </c>
      <c r="L75" s="11" t="n">
        <v>-2632000</v>
      </c>
      <c r="M75" s="12" t="n">
        <v>-54.83333333333333</v>
      </c>
      <c r="N75" s="11" t="n">
        <v>1290666.666666667</v>
      </c>
      <c r="O75" s="11" t="n">
        <v>-3509333.333333333</v>
      </c>
      <c r="P75" t="inlineStr">
        <is>
          <t>Below pace</t>
        </is>
      </c>
      <c r="Q75" s="11" t="n">
        <v>2632000</v>
      </c>
    </row>
    <row r="76">
      <c r="A76" t="inlineStr">
        <is>
          <t>Neighborhood Housing &amp; Community Development</t>
        </is>
      </c>
      <c r="B76" t="inlineStr">
        <is>
          <t>Neighborhood Housing-Housing Trust Fund</t>
        </is>
      </c>
      <c r="C76" t="inlineStr">
        <is>
          <t>Housing</t>
        </is>
      </c>
      <c r="D76" t="inlineStr">
        <is>
          <t>Transfers &amp; debt service</t>
        </is>
      </c>
      <c r="E76" s="11" t="n">
        <v>0</v>
      </c>
      <c r="F76" s="11" t="n">
        <v>2628767.6</v>
      </c>
      <c r="G76" t="n">
        <v>2</v>
      </c>
      <c r="H76" s="12" t="n">
        <v>75</v>
      </c>
      <c r="I76" s="11" t="n">
        <v>0</v>
      </c>
      <c r="J76" s="11" t="n">
        <v>-2628767.6</v>
      </c>
      <c r="K76" s="12" t="n"/>
      <c r="L76" s="11" t="n">
        <v>2628767.6</v>
      </c>
      <c r="M76" s="12" t="n"/>
      <c r="N76" s="11" t="n">
        <v>3505023.466666667</v>
      </c>
      <c r="O76" s="11" t="n">
        <v>3505023.466666667</v>
      </c>
      <c r="P76" t="inlineStr">
        <is>
          <t>Review: spend without budget</t>
        </is>
      </c>
      <c r="Q76" s="11" t="n">
        <v>2628767.6</v>
      </c>
    </row>
    <row r="77">
      <c r="A77" t="inlineStr">
        <is>
          <t>Communications &amp; Technology Management</t>
        </is>
      </c>
      <c r="B77" t="inlineStr">
        <is>
          <t>Information and Technology Fund</t>
        </is>
      </c>
      <c r="C77" t="inlineStr">
        <is>
          <t>Support Services</t>
        </is>
      </c>
      <c r="D77" t="inlineStr">
        <is>
          <t>Contractual services</t>
        </is>
      </c>
      <c r="E77" s="11" t="n">
        <v>1455560</v>
      </c>
      <c r="F77" s="11" t="n">
        <v>3654250.76</v>
      </c>
      <c r="G77" t="n">
        <v>19</v>
      </c>
      <c r="H77" s="12" t="n">
        <v>75</v>
      </c>
      <c r="I77" s="11" t="n">
        <v>1091670</v>
      </c>
      <c r="J77" s="11" t="n">
        <v>-2198690.76</v>
      </c>
      <c r="K77" s="12" t="n">
        <v>251.0546291461706</v>
      </c>
      <c r="L77" s="11" t="n">
        <v>2562580.76</v>
      </c>
      <c r="M77" s="12" t="n">
        <v>176.0546291461706</v>
      </c>
      <c r="N77" s="11" t="n">
        <v>4872334.346666667</v>
      </c>
      <c r="O77" s="11" t="n">
        <v>3416774.346666667</v>
      </c>
      <c r="P77" t="inlineStr">
        <is>
          <t>Above pace</t>
        </is>
      </c>
      <c r="Q77" s="11" t="n">
        <v>2562580.76</v>
      </c>
    </row>
    <row r="78">
      <c r="A78" t="inlineStr">
        <is>
          <t>Austin Water</t>
        </is>
      </c>
      <c r="B78" t="inlineStr">
        <is>
          <t>Austin Water Water Utility Operating Fund</t>
        </is>
      </c>
      <c r="C78" t="inlineStr">
        <is>
          <t>Environmental, Planning, and Development Services</t>
        </is>
      </c>
      <c r="D78" t="inlineStr">
        <is>
          <t>Other operating costs</t>
        </is>
      </c>
      <c r="E78" s="11" t="n">
        <v>5384947</v>
      </c>
      <c r="F78" s="11" t="n">
        <v>1497467.35</v>
      </c>
      <c r="G78" t="n">
        <v>199</v>
      </c>
      <c r="H78" s="12" t="n">
        <v>75</v>
      </c>
      <c r="I78" s="11" t="n">
        <v>4038710.25</v>
      </c>
      <c r="J78" s="11" t="n">
        <v>3887479.65</v>
      </c>
      <c r="K78" s="12" t="n">
        <v>27.80839532868197</v>
      </c>
      <c r="L78" s="11" t="n">
        <v>-2541242.9</v>
      </c>
      <c r="M78" s="12" t="n">
        <v>-47.19160467131803</v>
      </c>
      <c r="N78" s="11" t="n">
        <v>1996623.133333333</v>
      </c>
      <c r="O78" s="11" t="n">
        <v>-3388323.866666666</v>
      </c>
      <c r="P78" t="inlineStr">
        <is>
          <t>Below pace</t>
        </is>
      </c>
      <c r="Q78" s="11" t="n">
        <v>2541242.9</v>
      </c>
    </row>
    <row r="79">
      <c r="A79" t="inlineStr">
        <is>
          <t>Austin Energy</t>
        </is>
      </c>
      <c r="B79" t="inlineStr">
        <is>
          <t>Austin Energy Fund</t>
        </is>
      </c>
      <c r="C79" t="inlineStr">
        <is>
          <t>Customer Energy Solutions</t>
        </is>
      </c>
      <c r="D79" t="inlineStr">
        <is>
          <t>Contractual services</t>
        </is>
      </c>
      <c r="E79" s="11" t="n">
        <v>9934269</v>
      </c>
      <c r="F79" s="11" t="n">
        <v>4947852.27</v>
      </c>
      <c r="G79" t="n">
        <v>44</v>
      </c>
      <c r="H79" s="12" t="n">
        <v>75</v>
      </c>
      <c r="I79" s="11" t="n">
        <v>7450701.75</v>
      </c>
      <c r="J79" s="11" t="n">
        <v>4986416.73</v>
      </c>
      <c r="K79" s="12" t="n">
        <v>49.80590187360539</v>
      </c>
      <c r="L79" s="11" t="n">
        <v>-2502849.48</v>
      </c>
      <c r="M79" s="12" t="n">
        <v>-25.19409812639461</v>
      </c>
      <c r="N79" s="11" t="n">
        <v>6597136.359999999</v>
      </c>
      <c r="O79" s="11" t="n">
        <v>-3337132.640000001</v>
      </c>
      <c r="P79" t="inlineStr">
        <is>
          <t>Below pace</t>
        </is>
      </c>
      <c r="Q79" s="11" t="n">
        <v>2502849.48</v>
      </c>
    </row>
    <row r="80">
      <c r="A80" t="inlineStr">
        <is>
          <t>Financial Services</t>
        </is>
      </c>
      <c r="B80" t="inlineStr">
        <is>
          <t>Support Services Fund</t>
        </is>
      </c>
      <c r="C80" t="inlineStr">
        <is>
          <t>Support Services</t>
        </is>
      </c>
      <c r="D80" t="inlineStr">
        <is>
          <t>Other operating costs</t>
        </is>
      </c>
      <c r="E80" s="11" t="n">
        <v>3166933</v>
      </c>
      <c r="F80" s="11" t="n">
        <v>-123310.54</v>
      </c>
      <c r="G80" t="n">
        <v>132</v>
      </c>
      <c r="H80" s="12" t="n">
        <v>75</v>
      </c>
      <c r="I80" s="11" t="n">
        <v>2375199.75</v>
      </c>
      <c r="J80" s="11" t="n">
        <v>3290243.54</v>
      </c>
      <c r="K80" s="12" t="n">
        <v>-3.893689572845398</v>
      </c>
      <c r="L80" s="11" t="n">
        <v>-2498510.29</v>
      </c>
      <c r="M80" s="12" t="n">
        <v>-78.8936895728454</v>
      </c>
      <c r="N80" s="11" t="n">
        <v>-164414.0533333333</v>
      </c>
      <c r="O80" s="11" t="n">
        <v>-3331347.053333333</v>
      </c>
      <c r="P80" t="inlineStr">
        <is>
          <t>Below pace</t>
        </is>
      </c>
      <c r="Q80" s="11" t="n">
        <v>2498510.29</v>
      </c>
    </row>
    <row r="81">
      <c r="A81" t="inlineStr">
        <is>
          <t>Austin Water</t>
        </is>
      </c>
      <c r="B81" t="inlineStr">
        <is>
          <t>S-Wastewater Impact Fees</t>
        </is>
      </c>
      <c r="C81" t="inlineStr">
        <is>
          <t>Wastewater Cip Transfers To</t>
        </is>
      </c>
      <c r="D81" t="inlineStr">
        <is>
          <t>Transfers &amp; debt service</t>
        </is>
      </c>
      <c r="E81" s="11" t="n">
        <v>9990000</v>
      </c>
      <c r="F81" s="11" t="n">
        <v>9990163.619999999</v>
      </c>
      <c r="G81" t="n">
        <v>1</v>
      </c>
      <c r="H81" s="12" t="n">
        <v>75</v>
      </c>
      <c r="I81" s="11" t="n">
        <v>7492500</v>
      </c>
      <c r="J81" s="11" t="n">
        <v>-163.6199999991804</v>
      </c>
      <c r="K81" s="12" t="n">
        <v>100.0016378378378</v>
      </c>
      <c r="L81" s="11" t="n">
        <v>2497663.619999999</v>
      </c>
      <c r="M81" s="12" t="n">
        <v>25.00163783783782</v>
      </c>
      <c r="N81" s="11" t="n">
        <v>13320218.16</v>
      </c>
      <c r="O81" s="11" t="n">
        <v>3330218.159999998</v>
      </c>
      <c r="P81" t="inlineStr">
        <is>
          <t>Above pace</t>
        </is>
      </c>
      <c r="Q81" s="11" t="n">
        <v>2497663.619999999</v>
      </c>
    </row>
    <row r="82">
      <c r="A82" t="inlineStr">
        <is>
          <t>Fleet Services</t>
        </is>
      </c>
      <c r="B82" t="inlineStr">
        <is>
          <t>General Svc Inventories</t>
        </is>
      </c>
      <c r="C82" t="inlineStr">
        <is>
          <t>Operational Services</t>
        </is>
      </c>
      <c r="D82" t="inlineStr">
        <is>
          <t>Other operating costs</t>
        </is>
      </c>
      <c r="E82" s="11" t="n">
        <v>0</v>
      </c>
      <c r="F82" s="11" t="n">
        <v>2487365.72</v>
      </c>
      <c r="G82" t="n">
        <v>1</v>
      </c>
      <c r="H82" s="12" t="n">
        <v>75</v>
      </c>
      <c r="I82" s="11" t="n">
        <v>0</v>
      </c>
      <c r="J82" s="11" t="n">
        <v>-2487365.72</v>
      </c>
      <c r="K82" s="12" t="n"/>
      <c r="L82" s="11" t="n">
        <v>2487365.72</v>
      </c>
      <c r="M82" s="12" t="n"/>
      <c r="N82" s="11" t="n">
        <v>3316487.626666667</v>
      </c>
      <c r="O82" s="11" t="n">
        <v>3316487.626666667</v>
      </c>
      <c r="P82" t="inlineStr">
        <is>
          <t>Review: spend without budget</t>
        </is>
      </c>
      <c r="Q82" s="11" t="n">
        <v>2487365.72</v>
      </c>
    </row>
    <row r="83">
      <c r="A83" t="inlineStr">
        <is>
          <t>Nondepartmental</t>
        </is>
      </c>
      <c r="B83" t="inlineStr">
        <is>
          <t>General Fund</t>
        </is>
      </c>
      <c r="C83" t="inlineStr">
        <is>
          <t>Transfers, Debt Service, and Other Requirements</t>
        </is>
      </c>
      <c r="D83" t="inlineStr">
        <is>
          <t>Transfers &amp; debt service</t>
        </is>
      </c>
      <c r="E83" s="11" t="n">
        <v>36576757</v>
      </c>
      <c r="F83" s="11" t="n">
        <v>29918136.1</v>
      </c>
      <c r="G83" t="n">
        <v>15</v>
      </c>
      <c r="H83" s="12" t="n">
        <v>75</v>
      </c>
      <c r="I83" s="11" t="n">
        <v>27432567.75</v>
      </c>
      <c r="J83" s="11" t="n">
        <v>6658620.899999999</v>
      </c>
      <c r="K83" s="12" t="n">
        <v>81.79548586005042</v>
      </c>
      <c r="L83" s="11" t="n">
        <v>2485568.350000001</v>
      </c>
      <c r="M83" s="12" t="n">
        <v>6.79548586005042</v>
      </c>
      <c r="N83" s="11" t="n">
        <v>39890848.13333333</v>
      </c>
      <c r="O83" s="11" t="n">
        <v>3314091.133333333</v>
      </c>
      <c r="P83" t="inlineStr">
        <is>
          <t>Above pace</t>
        </is>
      </c>
      <c r="Q83" s="11" t="n">
        <v>2485568.350000001</v>
      </c>
    </row>
    <row r="84">
      <c r="A84" t="inlineStr">
        <is>
          <t>Human Resources</t>
        </is>
      </c>
      <c r="B84" t="inlineStr">
        <is>
          <t>Employee Benefits Fund</t>
        </is>
      </c>
      <c r="C84" t="inlineStr">
        <is>
          <t>Retiree Medical</t>
        </is>
      </c>
      <c r="D84" t="inlineStr">
        <is>
          <t>Other operating costs</t>
        </is>
      </c>
      <c r="E84" s="11" t="n">
        <v>24618500</v>
      </c>
      <c r="F84" s="11" t="n">
        <v>20903370.93</v>
      </c>
      <c r="G84" t="n">
        <v>19</v>
      </c>
      <c r="H84" s="12" t="n">
        <v>75</v>
      </c>
      <c r="I84" s="11" t="n">
        <v>18463875</v>
      </c>
      <c r="J84" s="11" t="n">
        <v>3715129.069999997</v>
      </c>
      <c r="K84" s="12" t="n">
        <v>84.90919808274266</v>
      </c>
      <c r="L84" s="11" t="n">
        <v>2439495.930000003</v>
      </c>
      <c r="M84" s="12" t="n">
        <v>9.909198082742662</v>
      </c>
      <c r="N84" s="11" t="n">
        <v>27871161.24000001</v>
      </c>
      <c r="O84" s="11" t="n">
        <v>3252661.240000006</v>
      </c>
      <c r="P84" t="inlineStr">
        <is>
          <t>Above pace</t>
        </is>
      </c>
      <c r="Q84" s="11" t="n">
        <v>2439495.930000003</v>
      </c>
    </row>
    <row r="85">
      <c r="A85" t="inlineStr">
        <is>
          <t>Development Services</t>
        </is>
      </c>
      <c r="B85" t="inlineStr">
        <is>
          <t>Development Services Fund</t>
        </is>
      </c>
      <c r="C85" t="inlineStr">
        <is>
          <t>Support Services</t>
        </is>
      </c>
      <c r="D85" t="inlineStr">
        <is>
          <t>Other operating costs</t>
        </is>
      </c>
      <c r="E85" s="11" t="n">
        <v>4988773</v>
      </c>
      <c r="F85" s="11" t="n">
        <v>1386189</v>
      </c>
      <c r="G85" t="n">
        <v>279</v>
      </c>
      <c r="H85" s="12" t="n">
        <v>75</v>
      </c>
      <c r="I85" s="11" t="n">
        <v>3741579.75</v>
      </c>
      <c r="J85" s="11" t="n">
        <v>3602584</v>
      </c>
      <c r="K85" s="12" t="n">
        <v>27.78617106851725</v>
      </c>
      <c r="L85" s="11" t="n">
        <v>-2355390.75</v>
      </c>
      <c r="M85" s="12" t="n">
        <v>-47.21382893148275</v>
      </c>
      <c r="N85" s="11" t="n">
        <v>1848252</v>
      </c>
      <c r="O85" s="11" t="n">
        <v>-3140521</v>
      </c>
      <c r="P85" t="inlineStr">
        <is>
          <t>Below pace</t>
        </is>
      </c>
      <c r="Q85" s="11" t="n">
        <v>2355390.75</v>
      </c>
    </row>
    <row r="86">
      <c r="A86" t="inlineStr">
        <is>
          <t>Austin Water</t>
        </is>
      </c>
      <c r="B86" t="inlineStr">
        <is>
          <t>Austin Water Wastewater Utility Operating Fund</t>
        </is>
      </c>
      <c r="C86" t="inlineStr">
        <is>
          <t>Engineering and Technical Services</t>
        </is>
      </c>
      <c r="D86" t="inlineStr">
        <is>
          <t>Personnel &amp; benefits</t>
        </is>
      </c>
      <c r="E86" s="11" t="n">
        <v>10865942</v>
      </c>
      <c r="F86" s="11" t="n">
        <v>10498618.6</v>
      </c>
      <c r="G86" t="n">
        <v>80</v>
      </c>
      <c r="H86" s="12" t="n">
        <v>75</v>
      </c>
      <c r="I86" s="11" t="n">
        <v>8149456.5</v>
      </c>
      <c r="J86" s="11" t="n">
        <v>367323.4000000004</v>
      </c>
      <c r="K86" s="12" t="n">
        <v>96.61949787694432</v>
      </c>
      <c r="L86" s="11" t="n">
        <v>2349162.1</v>
      </c>
      <c r="M86" s="12" t="n">
        <v>21.61949787694431</v>
      </c>
      <c r="N86" s="11" t="n">
        <v>13998158.13333333</v>
      </c>
      <c r="O86" s="11" t="n">
        <v>3132216.133333333</v>
      </c>
      <c r="P86" t="inlineStr">
        <is>
          <t>Above pace</t>
        </is>
      </c>
      <c r="Q86" s="11" t="n">
        <v>2349162.1</v>
      </c>
    </row>
    <row r="87">
      <c r="A87" t="inlineStr">
        <is>
          <t>Austin Public Health</t>
        </is>
      </c>
      <c r="B87" t="inlineStr">
        <is>
          <t>General Fund</t>
        </is>
      </c>
      <c r="C87" t="inlineStr">
        <is>
          <t>Social Service Grants</t>
        </is>
      </c>
      <c r="D87" t="inlineStr">
        <is>
          <t>Grants &amp; contributions</t>
        </is>
      </c>
      <c r="E87" s="11" t="n">
        <v>25510420</v>
      </c>
      <c r="F87" s="11" t="n">
        <v>16788770.33</v>
      </c>
      <c r="G87" t="n">
        <v>10</v>
      </c>
      <c r="H87" s="12" t="n">
        <v>75</v>
      </c>
      <c r="I87" s="11" t="n">
        <v>19132815</v>
      </c>
      <c r="J87" s="11" t="n">
        <v>8721649.670000002</v>
      </c>
      <c r="K87" s="12" t="n">
        <v>65.81142266571855</v>
      </c>
      <c r="L87" s="11" t="n">
        <v>-2344044.670000002</v>
      </c>
      <c r="M87" s="12" t="n">
        <v>-9.188577334281447</v>
      </c>
      <c r="N87" s="11" t="n">
        <v>22385027.10666667</v>
      </c>
      <c r="O87" s="11" t="n">
        <v>-3125392.893333334</v>
      </c>
      <c r="P87" t="inlineStr">
        <is>
          <t>Below pace</t>
        </is>
      </c>
      <c r="Q87" s="11" t="n">
        <v>2344044.670000002</v>
      </c>
    </row>
    <row r="88">
      <c r="A88" t="inlineStr">
        <is>
          <t>Austin Energy</t>
        </is>
      </c>
      <c r="B88" t="inlineStr">
        <is>
          <t>Austin Energy Fund</t>
        </is>
      </c>
      <c r="C88" t="inlineStr">
        <is>
          <t>Transfers, Debt Service, and Other Requirements</t>
        </is>
      </c>
      <c r="D88" t="inlineStr">
        <is>
          <t>Personnel &amp; benefits</t>
        </is>
      </c>
      <c r="E88" s="11" t="n">
        <v>19209738</v>
      </c>
      <c r="F88" s="11" t="n">
        <v>16744870.61</v>
      </c>
      <c r="G88" t="n">
        <v>4</v>
      </c>
      <c r="H88" s="12" t="n">
        <v>75</v>
      </c>
      <c r="I88" s="11" t="n">
        <v>14407303.5</v>
      </c>
      <c r="J88" s="11" t="n">
        <v>2464867.390000001</v>
      </c>
      <c r="K88" s="12" t="n">
        <v>87.16865690724153</v>
      </c>
      <c r="L88" s="11" t="n">
        <v>2337567.109999999</v>
      </c>
      <c r="M88" s="12" t="n">
        <v>12.16865690724153</v>
      </c>
      <c r="N88" s="11" t="n">
        <v>22326494.14666666</v>
      </c>
      <c r="O88" s="11" t="n">
        <v>3116756.146666665</v>
      </c>
      <c r="P88" t="inlineStr">
        <is>
          <t>Above pace</t>
        </is>
      </c>
      <c r="Q88" s="11" t="n">
        <v>2337567.109999999</v>
      </c>
    </row>
    <row r="89">
      <c r="A89" t="inlineStr">
        <is>
          <t>Financial Services</t>
        </is>
      </c>
      <c r="B89" t="inlineStr">
        <is>
          <t>GCP-Interest Income Fund</t>
        </is>
      </c>
      <c r="C89" t="inlineStr">
        <is>
          <t>Interfund Transfers-Other</t>
        </is>
      </c>
      <c r="D89" t="inlineStr">
        <is>
          <t>Transfers &amp; debt service</t>
        </is>
      </c>
      <c r="E89" s="11" t="n">
        <v>9340294</v>
      </c>
      <c r="F89" s="11" t="n">
        <v>9340294</v>
      </c>
      <c r="G89" t="n">
        <v>1</v>
      </c>
      <c r="H89" s="12" t="n">
        <v>75</v>
      </c>
      <c r="I89" s="11" t="n">
        <v>7005220.5</v>
      </c>
      <c r="J89" s="11" t="n">
        <v>0</v>
      </c>
      <c r="K89" s="12" t="n">
        <v>100</v>
      </c>
      <c r="L89" s="11" t="n">
        <v>2335073.5</v>
      </c>
      <c r="M89" s="12" t="n">
        <v>25</v>
      </c>
      <c r="N89" s="11" t="n">
        <v>12453725.33333333</v>
      </c>
      <c r="O89" s="11" t="n">
        <v>3113431.333333334</v>
      </c>
      <c r="P89" t="inlineStr">
        <is>
          <t>Above pace</t>
        </is>
      </c>
      <c r="Q89" s="11" t="n">
        <v>2335073.5</v>
      </c>
    </row>
    <row r="90">
      <c r="A90" t="inlineStr">
        <is>
          <t>Management Services</t>
        </is>
      </c>
      <c r="B90" t="inlineStr">
        <is>
          <t>Support Services Fund</t>
        </is>
      </c>
      <c r="C90" t="inlineStr">
        <is>
          <t>Support Services</t>
        </is>
      </c>
      <c r="D90" t="inlineStr">
        <is>
          <t>Contractual services</t>
        </is>
      </c>
      <c r="E90" s="11" t="n">
        <v>3336908</v>
      </c>
      <c r="F90" s="11" t="n">
        <v>210874.67</v>
      </c>
      <c r="G90" t="n">
        <v>8</v>
      </c>
      <c r="H90" s="12" t="n">
        <v>75</v>
      </c>
      <c r="I90" s="11" t="n">
        <v>2502681</v>
      </c>
      <c r="J90" s="11" t="n">
        <v>3126033.33</v>
      </c>
      <c r="K90" s="12" t="n">
        <v>6.319463107763235</v>
      </c>
      <c r="L90" s="11" t="n">
        <v>-2291806.33</v>
      </c>
      <c r="M90" s="12" t="n">
        <v>-68.68053689223676</v>
      </c>
      <c r="N90" s="11" t="n">
        <v>281166.2266666667</v>
      </c>
      <c r="O90" s="11" t="n">
        <v>-3055741.773333333</v>
      </c>
      <c r="P90" t="inlineStr">
        <is>
          <t>Below pace</t>
        </is>
      </c>
      <c r="Q90" s="11" t="n">
        <v>2291806.33</v>
      </c>
    </row>
    <row r="91">
      <c r="A91" t="inlineStr">
        <is>
          <t>Human Resources</t>
        </is>
      </c>
      <c r="B91" t="inlineStr">
        <is>
          <t>Workers' Compensation Fund</t>
        </is>
      </c>
      <c r="C91" t="inlineStr">
        <is>
          <t>Indemnity Payments</t>
        </is>
      </c>
      <c r="D91" t="inlineStr">
        <is>
          <t>Other operating costs</t>
        </is>
      </c>
      <c r="E91" s="11" t="n">
        <v>8294466</v>
      </c>
      <c r="F91" s="11" t="n">
        <v>3944621</v>
      </c>
      <c r="G91" t="n">
        <v>3</v>
      </c>
      <c r="H91" s="12" t="n">
        <v>75</v>
      </c>
      <c r="I91" s="11" t="n">
        <v>6220849.5</v>
      </c>
      <c r="J91" s="11" t="n">
        <v>4349845</v>
      </c>
      <c r="K91" s="12" t="n">
        <v>47.55726287864704</v>
      </c>
      <c r="L91" s="11" t="n">
        <v>-2276228.5</v>
      </c>
      <c r="M91" s="12" t="n">
        <v>-27.44273712135296</v>
      </c>
      <c r="N91" s="11" t="n">
        <v>5259494.666666667</v>
      </c>
      <c r="O91" s="11" t="n">
        <v>-3034971.333333333</v>
      </c>
      <c r="P91" t="inlineStr">
        <is>
          <t>Below pace</t>
        </is>
      </c>
      <c r="Q91" s="11" t="n">
        <v>2276228.5</v>
      </c>
    </row>
    <row r="92">
      <c r="A92" t="inlineStr">
        <is>
          <t>Austin Resource Recovery</t>
        </is>
      </c>
      <c r="B92" t="inlineStr">
        <is>
          <t>Austin Resource Recovery Fund</t>
        </is>
      </c>
      <c r="C92" t="inlineStr">
        <is>
          <t>Collection Services</t>
        </is>
      </c>
      <c r="D92" t="inlineStr">
        <is>
          <t>Contractual services</t>
        </is>
      </c>
      <c r="E92" s="11" t="n">
        <v>12364313</v>
      </c>
      <c r="F92" s="11" t="n">
        <v>7022951.13</v>
      </c>
      <c r="G92" t="n">
        <v>34</v>
      </c>
      <c r="H92" s="12" t="n">
        <v>75</v>
      </c>
      <c r="I92" s="11" t="n">
        <v>9273234.75</v>
      </c>
      <c r="J92" s="11" t="n">
        <v>5341361.87</v>
      </c>
      <c r="K92" s="12" t="n">
        <v>56.80017264202225</v>
      </c>
      <c r="L92" s="11" t="n">
        <v>-2250283.62</v>
      </c>
      <c r="M92" s="12" t="n">
        <v>-18.19982735797776</v>
      </c>
      <c r="N92" s="11" t="n">
        <v>9363934.84</v>
      </c>
      <c r="O92" s="11" t="n">
        <v>-3000378.16</v>
      </c>
      <c r="P92" t="inlineStr">
        <is>
          <t>Below pace</t>
        </is>
      </c>
      <c r="Q92" s="11" t="n">
        <v>2250283.62</v>
      </c>
    </row>
    <row r="93">
      <c r="A93" t="inlineStr">
        <is>
          <t>Law</t>
        </is>
      </c>
      <c r="B93" t="inlineStr">
        <is>
          <t>Liability Reserve Fund</t>
        </is>
      </c>
      <c r="C93" t="inlineStr">
        <is>
          <t>Liability Reserve</t>
        </is>
      </c>
      <c r="D93" t="inlineStr">
        <is>
          <t>Contractual services</t>
        </is>
      </c>
      <c r="E93" s="11" t="n">
        <v>363000</v>
      </c>
      <c r="F93" s="11" t="n">
        <v>2515293.53</v>
      </c>
      <c r="G93" t="n">
        <v>35</v>
      </c>
      <c r="H93" s="12" t="n">
        <v>75</v>
      </c>
      <c r="I93" s="11" t="n">
        <v>272250</v>
      </c>
      <c r="J93" s="11" t="n">
        <v>-2152293.53</v>
      </c>
      <c r="K93" s="12" t="n">
        <v>692.9183278236916</v>
      </c>
      <c r="L93" s="11" t="n">
        <v>2243043.53</v>
      </c>
      <c r="M93" s="12" t="n">
        <v>617.9183278236916</v>
      </c>
      <c r="N93" s="11" t="n">
        <v>3353724.706666667</v>
      </c>
      <c r="O93" s="11" t="n">
        <v>2990724.706666667</v>
      </c>
      <c r="P93" t="inlineStr">
        <is>
          <t>Above pace</t>
        </is>
      </c>
      <c r="Q93" s="11" t="n">
        <v>2243043.53</v>
      </c>
    </row>
    <row r="94">
      <c r="A94" t="inlineStr">
        <is>
          <t>Aviation</t>
        </is>
      </c>
      <c r="B94" t="inlineStr">
        <is>
          <t>Airport Operating Fund</t>
        </is>
      </c>
      <c r="C94" t="inlineStr">
        <is>
          <t>Support Services</t>
        </is>
      </c>
      <c r="D94" t="inlineStr">
        <is>
          <t>Contractual services</t>
        </is>
      </c>
      <c r="E94" s="11" t="n">
        <v>10994608</v>
      </c>
      <c r="F94" s="11" t="n">
        <v>6033833.86</v>
      </c>
      <c r="G94" t="n">
        <v>70</v>
      </c>
      <c r="H94" s="12" t="n">
        <v>75</v>
      </c>
      <c r="I94" s="11" t="n">
        <v>8245956</v>
      </c>
      <c r="J94" s="11" t="n">
        <v>4960774.14</v>
      </c>
      <c r="K94" s="12" t="n">
        <v>54.87993623783586</v>
      </c>
      <c r="L94" s="11" t="n">
        <v>-2212122.14</v>
      </c>
      <c r="M94" s="12" t="n">
        <v>-20.12006376216414</v>
      </c>
      <c r="N94" s="11" t="n">
        <v>8045111.813333333</v>
      </c>
      <c r="O94" s="11" t="n">
        <v>-2949496.186666667</v>
      </c>
      <c r="P94" t="inlineStr">
        <is>
          <t>Below pace</t>
        </is>
      </c>
      <c r="Q94" s="11" t="n">
        <v>2212122.14</v>
      </c>
    </row>
    <row r="95">
      <c r="A95" t="inlineStr">
        <is>
          <t>Communications &amp; Technology Management</t>
        </is>
      </c>
      <c r="B95" t="inlineStr">
        <is>
          <t>Combined Transportation, Emergency &amp; Communications Ctr Fund</t>
        </is>
      </c>
      <c r="C95" t="inlineStr">
        <is>
          <t>CTECC and Public Safety IT Support</t>
        </is>
      </c>
      <c r="D95" t="inlineStr">
        <is>
          <t>Supplies, technology &amp; equipment</t>
        </is>
      </c>
      <c r="E95" s="11" t="n">
        <v>9898195</v>
      </c>
      <c r="F95" s="11" t="n">
        <v>9611195.42</v>
      </c>
      <c r="G95" t="n">
        <v>36</v>
      </c>
      <c r="H95" s="12" t="n">
        <v>75</v>
      </c>
      <c r="I95" s="11" t="n">
        <v>7423646.25</v>
      </c>
      <c r="J95" s="11" t="n">
        <v>286999.5800000001</v>
      </c>
      <c r="K95" s="12" t="n">
        <v>97.10048569461402</v>
      </c>
      <c r="L95" s="11" t="n">
        <v>2187549.17</v>
      </c>
      <c r="M95" s="12" t="n">
        <v>22.10048569461402</v>
      </c>
      <c r="N95" s="11" t="n">
        <v>12814927.22666667</v>
      </c>
      <c r="O95" s="11" t="n">
        <v>2916732.226666667</v>
      </c>
      <c r="P95" t="inlineStr">
        <is>
          <t>Above pace</t>
        </is>
      </c>
      <c r="Q95" s="11" t="n">
        <v>2187549.17</v>
      </c>
    </row>
    <row r="96">
      <c r="A96" t="inlineStr">
        <is>
          <t>Human Resources</t>
        </is>
      </c>
      <c r="B96" t="inlineStr">
        <is>
          <t>Employee Benefits Fund</t>
        </is>
      </c>
      <c r="C96" t="inlineStr">
        <is>
          <t>Employee Dental</t>
        </is>
      </c>
      <c r="D96" t="inlineStr">
        <is>
          <t>Other operating costs</t>
        </is>
      </c>
      <c r="E96" s="11" t="n">
        <v>11718038</v>
      </c>
      <c r="F96" s="11" t="n">
        <v>10903475.77</v>
      </c>
      <c r="G96" t="n">
        <v>1</v>
      </c>
      <c r="H96" s="12" t="n">
        <v>75</v>
      </c>
      <c r="I96" s="11" t="n">
        <v>8788528.5</v>
      </c>
      <c r="J96" s="11" t="n">
        <v>814562.2300000004</v>
      </c>
      <c r="K96" s="12" t="n">
        <v>93.04864662497256</v>
      </c>
      <c r="L96" s="11" t="n">
        <v>2114947.27</v>
      </c>
      <c r="M96" s="12" t="n">
        <v>18.04864662497255</v>
      </c>
      <c r="N96" s="11" t="n">
        <v>14537967.69333333</v>
      </c>
      <c r="O96" s="11" t="n">
        <v>2819929.693333333</v>
      </c>
      <c r="P96" t="inlineStr">
        <is>
          <t>Above pace</t>
        </is>
      </c>
      <c r="Q96" s="11" t="n">
        <v>2114947.27</v>
      </c>
    </row>
    <row r="97">
      <c r="A97" t="inlineStr">
        <is>
          <t>Municipal Court</t>
        </is>
      </c>
      <c r="B97" t="inlineStr">
        <is>
          <t>General Fund</t>
        </is>
      </c>
      <c r="C97" t="inlineStr">
        <is>
          <t>Community Court</t>
        </is>
      </c>
      <c r="D97" t="inlineStr">
        <is>
          <t>Contractual services</t>
        </is>
      </c>
      <c r="E97" s="11" t="n">
        <v>6393302</v>
      </c>
      <c r="F97" s="11" t="n">
        <v>2724586.49</v>
      </c>
      <c r="G97" t="n">
        <v>16</v>
      </c>
      <c r="H97" s="12" t="n">
        <v>75</v>
      </c>
      <c r="I97" s="11" t="n">
        <v>4794976.5</v>
      </c>
      <c r="J97" s="11" t="n">
        <v>3668715.51</v>
      </c>
      <c r="K97" s="12" t="n">
        <v>42.6162644905559</v>
      </c>
      <c r="L97" s="11" t="n">
        <v>-2070390.01</v>
      </c>
      <c r="M97" s="12" t="n">
        <v>-32.3837355094441</v>
      </c>
      <c r="N97" s="11" t="n">
        <v>3632781.986666665</v>
      </c>
      <c r="O97" s="11" t="n">
        <v>-2760520.013333334</v>
      </c>
      <c r="P97" t="inlineStr">
        <is>
          <t>Below pace</t>
        </is>
      </c>
      <c r="Q97" s="11" t="n">
        <v>2070390.01</v>
      </c>
    </row>
    <row r="98">
      <c r="A98" t="inlineStr">
        <is>
          <t>Communications &amp; Technology Management</t>
        </is>
      </c>
      <c r="B98" t="inlineStr">
        <is>
          <t>Information and Technology Fund</t>
        </is>
      </c>
      <c r="C98" t="inlineStr">
        <is>
          <t>Enterprise Operations &amp; Technology</t>
        </is>
      </c>
      <c r="D98" t="inlineStr">
        <is>
          <t>Contractual services</t>
        </is>
      </c>
      <c r="E98" s="11" t="n">
        <v>19182346</v>
      </c>
      <c r="F98" s="11" t="n">
        <v>12320951.94</v>
      </c>
      <c r="G98" t="n">
        <v>47</v>
      </c>
      <c r="H98" s="12" t="n">
        <v>75</v>
      </c>
      <c r="I98" s="11" t="n">
        <v>14386759.5</v>
      </c>
      <c r="J98" s="11" t="n">
        <v>6861394.060000001</v>
      </c>
      <c r="K98" s="12" t="n">
        <v>64.23068346280481</v>
      </c>
      <c r="L98" s="11" t="n">
        <v>-2065807.56</v>
      </c>
      <c r="M98" s="12" t="n">
        <v>-10.7693165371952</v>
      </c>
      <c r="N98" s="11" t="n">
        <v>16427935.92</v>
      </c>
      <c r="O98" s="11" t="n">
        <v>-2754410.08</v>
      </c>
      <c r="P98" t="inlineStr">
        <is>
          <t>Below pace</t>
        </is>
      </c>
      <c r="Q98" s="11" t="n">
        <v>2065807.56</v>
      </c>
    </row>
    <row r="99">
      <c r="A99" t="inlineStr">
        <is>
          <t>Austin Water</t>
        </is>
      </c>
      <c r="B99" t="inlineStr">
        <is>
          <t>Austin Water Wastewater Utility Operating Fund</t>
        </is>
      </c>
      <c r="C99" t="inlineStr">
        <is>
          <t>Customer Experience</t>
        </is>
      </c>
      <c r="D99" t="inlineStr">
        <is>
          <t>Personnel &amp; benefits</t>
        </is>
      </c>
      <c r="E99" s="11" t="n">
        <v>7392570</v>
      </c>
      <c r="F99" s="11" t="n">
        <v>7551241.649999999</v>
      </c>
      <c r="G99" t="n">
        <v>96</v>
      </c>
      <c r="H99" s="12" t="n">
        <v>75</v>
      </c>
      <c r="I99" s="11" t="n">
        <v>5544427.5</v>
      </c>
      <c r="J99" s="11" t="n">
        <v>-158671.6499999994</v>
      </c>
      <c r="K99" s="12" t="n">
        <v>102.146366554527</v>
      </c>
      <c r="L99" s="11" t="n">
        <v>2006814.15</v>
      </c>
      <c r="M99" s="12" t="n">
        <v>27.14636655452705</v>
      </c>
      <c r="N99" s="11" t="n">
        <v>10068322.2</v>
      </c>
      <c r="O99" s="11" t="n">
        <v>2675752.2</v>
      </c>
      <c r="P99" t="inlineStr">
        <is>
          <t>Above pace</t>
        </is>
      </c>
      <c r="Q99" s="11" t="n">
        <v>2006814.15</v>
      </c>
    </row>
    <row r="100">
      <c r="A100" t="inlineStr">
        <is>
          <t>Aviation</t>
        </is>
      </c>
      <c r="B100" t="inlineStr">
        <is>
          <t>Airport Operating Fund</t>
        </is>
      </c>
      <c r="C100" t="inlineStr">
        <is>
          <t>Support Services</t>
        </is>
      </c>
      <c r="D100" t="inlineStr">
        <is>
          <t>Personnel &amp; benefits</t>
        </is>
      </c>
      <c r="E100" s="11" t="n">
        <v>28854483</v>
      </c>
      <c r="F100" s="11" t="n">
        <v>23643369.82</v>
      </c>
      <c r="G100" t="n">
        <v>148</v>
      </c>
      <c r="H100" s="12" t="n">
        <v>75</v>
      </c>
      <c r="I100" s="11" t="n">
        <v>21640862.25</v>
      </c>
      <c r="J100" s="11" t="n">
        <v>5211113.18</v>
      </c>
      <c r="K100" s="12" t="n">
        <v>81.94002235285241</v>
      </c>
      <c r="L100" s="11" t="n">
        <v>2002507.57</v>
      </c>
      <c r="M100" s="12" t="n">
        <v>6.940022352852409</v>
      </c>
      <c r="N100" s="11" t="n">
        <v>31524493.09333333</v>
      </c>
      <c r="O100" s="11" t="n">
        <v>2670010.093333334</v>
      </c>
      <c r="P100" t="inlineStr">
        <is>
          <t>Above pace</t>
        </is>
      </c>
      <c r="Q100" s="11" t="n">
        <v>2002507.57</v>
      </c>
    </row>
    <row r="101">
      <c r="A101" t="inlineStr">
        <is>
          <t>Financial Services</t>
        </is>
      </c>
      <c r="B101" t="inlineStr">
        <is>
          <t>Waller Creek Tax Increment Financing Fund</t>
        </is>
      </c>
      <c r="C101" t="inlineStr">
        <is>
          <t>Transfers, Debt Service, and Other Requirements</t>
        </is>
      </c>
      <c r="D101" t="inlineStr">
        <is>
          <t>Transfers &amp; debt service</t>
        </is>
      </c>
      <c r="E101" s="11" t="n">
        <v>23643086</v>
      </c>
      <c r="F101" s="11" t="n">
        <v>19702571.7</v>
      </c>
      <c r="G101" t="n">
        <v>1</v>
      </c>
      <c r="H101" s="12" t="n">
        <v>75</v>
      </c>
      <c r="I101" s="11" t="n">
        <v>17732314.5</v>
      </c>
      <c r="J101" s="11" t="n">
        <v>3940514.300000001</v>
      </c>
      <c r="K101" s="12" t="n">
        <v>83.33333347431888</v>
      </c>
      <c r="L101" s="11" t="n">
        <v>1970257.199999999</v>
      </c>
      <c r="M101" s="12" t="n">
        <v>8.333333474318877</v>
      </c>
      <c r="N101" s="11" t="n">
        <v>26270095.6</v>
      </c>
      <c r="O101" s="11" t="n">
        <v>2627009.599999998</v>
      </c>
      <c r="P101" t="inlineStr">
        <is>
          <t>Above pace</t>
        </is>
      </c>
      <c r="Q101" s="11" t="n">
        <v>1970257.199999999</v>
      </c>
    </row>
    <row r="102">
      <c r="A102" t="inlineStr">
        <is>
          <t>Economic Development</t>
        </is>
      </c>
      <c r="B102" t="inlineStr">
        <is>
          <t>Economic Development Fund</t>
        </is>
      </c>
      <c r="C102" t="inlineStr">
        <is>
          <t>Workforce Development and Childcare</t>
        </is>
      </c>
      <c r="D102" t="inlineStr">
        <is>
          <t>Contractual services</t>
        </is>
      </c>
      <c r="E102" s="11" t="n">
        <v>2891781</v>
      </c>
      <c r="F102" s="11" t="n">
        <v>201594.98</v>
      </c>
      <c r="G102" t="n">
        <v>16</v>
      </c>
      <c r="H102" s="12" t="n">
        <v>75</v>
      </c>
      <c r="I102" s="11" t="n">
        <v>2168835.75</v>
      </c>
      <c r="J102" s="11" t="n">
        <v>2690186.02</v>
      </c>
      <c r="K102" s="12" t="n">
        <v>6.971308684855457</v>
      </c>
      <c r="L102" s="11" t="n">
        <v>-1967240.77</v>
      </c>
      <c r="M102" s="12" t="n">
        <v>-68.02869131514454</v>
      </c>
      <c r="N102" s="11" t="n">
        <v>268793.3066666667</v>
      </c>
      <c r="O102" s="11" t="n">
        <v>-2622987.693333333</v>
      </c>
      <c r="P102" t="inlineStr">
        <is>
          <t>Below pace</t>
        </is>
      </c>
      <c r="Q102" s="11" t="n">
        <v>1967240.77</v>
      </c>
    </row>
    <row r="103">
      <c r="A103" t="inlineStr">
        <is>
          <t>Austin Energy</t>
        </is>
      </c>
      <c r="B103" t="inlineStr">
        <is>
          <t>Austin Energy Fund</t>
        </is>
      </c>
      <c r="C103" t="inlineStr">
        <is>
          <t>Power Generation, Market Operations &amp; Resource Planning</t>
        </is>
      </c>
      <c r="D103" t="inlineStr">
        <is>
          <t>Contractual services</t>
        </is>
      </c>
      <c r="E103" s="11" t="n">
        <v>8427933</v>
      </c>
      <c r="F103" s="11" t="n">
        <v>4353758.66</v>
      </c>
      <c r="G103" t="n">
        <v>92</v>
      </c>
      <c r="H103" s="12" t="n">
        <v>75</v>
      </c>
      <c r="I103" s="11" t="n">
        <v>6320949.75</v>
      </c>
      <c r="J103" s="11" t="n">
        <v>4074174.34</v>
      </c>
      <c r="K103" s="12" t="n">
        <v>51.65867668857832</v>
      </c>
      <c r="L103" s="11" t="n">
        <v>-1967191.09</v>
      </c>
      <c r="M103" s="12" t="n">
        <v>-23.34132331142168</v>
      </c>
      <c r="N103" s="11" t="n">
        <v>5805011.546666667</v>
      </c>
      <c r="O103" s="11" t="n">
        <v>-2622921.453333333</v>
      </c>
      <c r="P103" t="inlineStr">
        <is>
          <t>Below pace</t>
        </is>
      </c>
      <c r="Q103" s="11" t="n">
        <v>1967191.09</v>
      </c>
    </row>
    <row r="104">
      <c r="A104" t="inlineStr">
        <is>
          <t>Office of Arts, Culture, Music and Entertainment</t>
        </is>
      </c>
      <c r="B104" t="inlineStr">
        <is>
          <t>Iconic Venue Fund</t>
        </is>
      </c>
      <c r="C104" t="inlineStr">
        <is>
          <t>Music and Entertainment</t>
        </is>
      </c>
      <c r="D104" t="inlineStr">
        <is>
          <t>Other operating costs</t>
        </is>
      </c>
      <c r="E104" s="11" t="n">
        <v>2600000</v>
      </c>
      <c r="F104" s="11" t="n">
        <v>0</v>
      </c>
      <c r="G104" t="n">
        <v>1</v>
      </c>
      <c r="H104" s="12" t="n">
        <v>75</v>
      </c>
      <c r="I104" s="11" t="n">
        <v>1950000</v>
      </c>
      <c r="J104" s="11" t="n">
        <v>2600000</v>
      </c>
      <c r="K104" s="12" t="n">
        <v>0</v>
      </c>
      <c r="L104" s="11" t="n">
        <v>-1950000</v>
      </c>
      <c r="M104" s="12" t="n">
        <v>-75</v>
      </c>
      <c r="N104" s="11" t="n">
        <v>0</v>
      </c>
      <c r="O104" s="11" t="n">
        <v>-2600000</v>
      </c>
      <c r="P104" t="inlineStr">
        <is>
          <t>Below pace</t>
        </is>
      </c>
      <c r="Q104" s="11" t="n">
        <v>1950000</v>
      </c>
    </row>
    <row r="105">
      <c r="A105" t="inlineStr">
        <is>
          <t>Forensic Science</t>
        </is>
      </c>
      <c r="B105" t="inlineStr">
        <is>
          <t>General Fund</t>
        </is>
      </c>
      <c r="C105" t="inlineStr">
        <is>
          <t>Forensic Integrity and Laboratory Services</t>
        </is>
      </c>
      <c r="D105" t="inlineStr">
        <is>
          <t>Contractual services</t>
        </is>
      </c>
      <c r="E105" s="11" t="n">
        <v>3154731</v>
      </c>
      <c r="F105" s="11" t="n">
        <v>423284.27</v>
      </c>
      <c r="G105" t="n">
        <v>24</v>
      </c>
      <c r="H105" s="12" t="n">
        <v>75</v>
      </c>
      <c r="I105" s="11" t="n">
        <v>2366048.25</v>
      </c>
      <c r="J105" s="11" t="n">
        <v>2731446.73</v>
      </c>
      <c r="K105" s="12" t="n">
        <v>13.41744414975476</v>
      </c>
      <c r="L105" s="11" t="n">
        <v>-1942763.98</v>
      </c>
      <c r="M105" s="12" t="n">
        <v>-61.58255585024524</v>
      </c>
      <c r="N105" s="11" t="n">
        <v>564379.0266666667</v>
      </c>
      <c r="O105" s="11" t="n">
        <v>-2590351.973333333</v>
      </c>
      <c r="P105" t="inlineStr">
        <is>
          <t>Below pace</t>
        </is>
      </c>
      <c r="Q105" s="11" t="n">
        <v>1942763.98</v>
      </c>
    </row>
    <row r="106">
      <c r="A106" t="inlineStr">
        <is>
          <t>Enterprise Debt Service</t>
        </is>
      </c>
      <c r="B106" t="inlineStr">
        <is>
          <t>Convention Center Waller Creek Venue Debt Service Fund</t>
        </is>
      </c>
      <c r="C106" t="inlineStr">
        <is>
          <t>Transfers, Debt Service, and Other Requirements</t>
        </is>
      </c>
      <c r="D106" t="inlineStr">
        <is>
          <t>Transfers &amp; debt service</t>
        </is>
      </c>
      <c r="E106" s="11" t="n">
        <v>4915875</v>
      </c>
      <c r="F106" s="11" t="n">
        <v>1750875</v>
      </c>
      <c r="G106" t="n">
        <v>3</v>
      </c>
      <c r="H106" s="12" t="n">
        <v>75</v>
      </c>
      <c r="I106" s="11" t="n">
        <v>3686906.25</v>
      </c>
      <c r="J106" s="11" t="n">
        <v>3165000</v>
      </c>
      <c r="K106" s="12" t="n">
        <v>35.61675184987413</v>
      </c>
      <c r="L106" s="11" t="n">
        <v>-1936031.25</v>
      </c>
      <c r="M106" s="12" t="n">
        <v>-39.38324815012587</v>
      </c>
      <c r="N106" s="11" t="n">
        <v>2334500</v>
      </c>
      <c r="O106" s="11" t="n">
        <v>-2581375</v>
      </c>
      <c r="P106" t="inlineStr">
        <is>
          <t>Below pace</t>
        </is>
      </c>
      <c r="Q106" s="11" t="n">
        <v>1936031.25</v>
      </c>
    </row>
    <row r="107">
      <c r="A107" t="inlineStr">
        <is>
          <t>Austin Public Health</t>
        </is>
      </c>
      <c r="B107" t="inlineStr">
        <is>
          <t>General Fund</t>
        </is>
      </c>
      <c r="C107" t="inlineStr">
        <is>
          <t>Support Services</t>
        </is>
      </c>
      <c r="D107" t="inlineStr">
        <is>
          <t>Other operating costs</t>
        </is>
      </c>
      <c r="E107" s="11" t="n">
        <v>3594617</v>
      </c>
      <c r="F107" s="11" t="n">
        <v>790060.84</v>
      </c>
      <c r="G107" t="n">
        <v>239</v>
      </c>
      <c r="H107" s="12" t="n">
        <v>75</v>
      </c>
      <c r="I107" s="11" t="n">
        <v>2695962.75</v>
      </c>
      <c r="J107" s="11" t="n">
        <v>2804556.16</v>
      </c>
      <c r="K107" s="12" t="n">
        <v>21.9789991534564</v>
      </c>
      <c r="L107" s="11" t="n">
        <v>-1905901.91</v>
      </c>
      <c r="M107" s="12" t="n">
        <v>-53.0210008465436</v>
      </c>
      <c r="N107" s="11" t="n">
        <v>1053414.453333333</v>
      </c>
      <c r="O107" s="11" t="n">
        <v>-2541202.546666667</v>
      </c>
      <c r="P107" t="inlineStr">
        <is>
          <t>Below pace</t>
        </is>
      </c>
      <c r="Q107" s="11" t="n">
        <v>1905901.91</v>
      </c>
    </row>
    <row r="108">
      <c r="A108" t="inlineStr">
        <is>
          <t>Watershed Protection</t>
        </is>
      </c>
      <c r="B108" t="inlineStr">
        <is>
          <t>Drainage Utility Fund</t>
        </is>
      </c>
      <c r="C108" t="inlineStr">
        <is>
          <t>Field Operations</t>
        </is>
      </c>
      <c r="D108" t="inlineStr">
        <is>
          <t>Other operating costs</t>
        </is>
      </c>
      <c r="E108" s="11" t="n">
        <v>11472793</v>
      </c>
      <c r="F108" s="11" t="n">
        <v>6719243.4</v>
      </c>
      <c r="G108" t="n">
        <v>294</v>
      </c>
      <c r="H108" s="12" t="n">
        <v>75</v>
      </c>
      <c r="I108" s="11" t="n">
        <v>8604594.75</v>
      </c>
      <c r="J108" s="11" t="n">
        <v>4753549.6</v>
      </c>
      <c r="K108" s="12" t="n">
        <v>58.56676225222576</v>
      </c>
      <c r="L108" s="11" t="n">
        <v>-1885351.35</v>
      </c>
      <c r="M108" s="12" t="n">
        <v>-16.43323774777424</v>
      </c>
      <c r="N108" s="11" t="n">
        <v>8958991.200000001</v>
      </c>
      <c r="O108" s="11" t="n">
        <v>-2513801.799999999</v>
      </c>
      <c r="P108" t="inlineStr">
        <is>
          <t>Below pace</t>
        </is>
      </c>
      <c r="Q108" s="11" t="n">
        <v>1885351.35</v>
      </c>
    </row>
    <row r="109">
      <c r="A109" t="inlineStr">
        <is>
          <t>Communications &amp; Technology Management</t>
        </is>
      </c>
      <c r="B109" t="inlineStr">
        <is>
          <t>Information and Technology Fund</t>
        </is>
      </c>
      <c r="C109" t="inlineStr">
        <is>
          <t>Information Security</t>
        </is>
      </c>
      <c r="D109" t="inlineStr">
        <is>
          <t>Contractual services</t>
        </is>
      </c>
      <c r="E109" s="11" t="n">
        <v>6577748</v>
      </c>
      <c r="F109" s="11" t="n">
        <v>3052094.44</v>
      </c>
      <c r="G109" t="n">
        <v>20</v>
      </c>
      <c r="H109" s="12" t="n">
        <v>75</v>
      </c>
      <c r="I109" s="11" t="n">
        <v>4933311</v>
      </c>
      <c r="J109" s="11" t="n">
        <v>3525653.56</v>
      </c>
      <c r="K109" s="12" t="n">
        <v>46.40029444727892</v>
      </c>
      <c r="L109" s="11" t="n">
        <v>-1881216.56</v>
      </c>
      <c r="M109" s="12" t="n">
        <v>-28.59970555272108</v>
      </c>
      <c r="N109" s="11" t="n">
        <v>4069459.253333333</v>
      </c>
      <c r="O109" s="11" t="n">
        <v>-2508288.746666667</v>
      </c>
      <c r="P109" t="inlineStr">
        <is>
          <t>Below pace</t>
        </is>
      </c>
      <c r="Q109" s="11" t="n">
        <v>1881216.56</v>
      </c>
    </row>
    <row r="110">
      <c r="A110" t="inlineStr">
        <is>
          <t>Nondepartmental</t>
        </is>
      </c>
      <c r="B110" t="inlineStr">
        <is>
          <t>General Fund Budget Stabilization Reserve Fund</t>
        </is>
      </c>
      <c r="C110" t="inlineStr">
        <is>
          <t>Transfers, Debt Service, and Other Requirements</t>
        </is>
      </c>
      <c r="D110" t="inlineStr">
        <is>
          <t>Transfers &amp; debt service</t>
        </is>
      </c>
      <c r="E110" s="11" t="n">
        <v>22582842</v>
      </c>
      <c r="F110" s="11" t="n">
        <v>18773201.65</v>
      </c>
      <c r="G110" t="n">
        <v>8</v>
      </c>
      <c r="H110" s="12" t="n">
        <v>75</v>
      </c>
      <c r="I110" s="11" t="n">
        <v>16937131.5</v>
      </c>
      <c r="J110" s="11" t="n">
        <v>3809640.350000001</v>
      </c>
      <c r="K110" s="12" t="n">
        <v>83.13037681439739</v>
      </c>
      <c r="L110" s="11" t="n">
        <v>1836070.149999999</v>
      </c>
      <c r="M110" s="12" t="n">
        <v>8.130376814397394</v>
      </c>
      <c r="N110" s="11" t="n">
        <v>25030935.53333333</v>
      </c>
      <c r="O110" s="11" t="n">
        <v>2448093.533333332</v>
      </c>
      <c r="P110" t="inlineStr">
        <is>
          <t>Above pace</t>
        </is>
      </c>
      <c r="Q110" s="11" t="n">
        <v>1836070.149999999</v>
      </c>
    </row>
    <row r="111">
      <c r="A111" t="inlineStr">
        <is>
          <t>Economic Development</t>
        </is>
      </c>
      <c r="B111" t="inlineStr">
        <is>
          <t>Economic Development Fund</t>
        </is>
      </c>
      <c r="C111" t="inlineStr">
        <is>
          <t>Workforce Development and Childcare</t>
        </is>
      </c>
      <c r="D111" t="inlineStr">
        <is>
          <t>Other operating costs</t>
        </is>
      </c>
      <c r="E111" s="11" t="n">
        <v>-1881232</v>
      </c>
      <c r="F111" s="11" t="n">
        <v>356597.51</v>
      </c>
      <c r="G111" t="n">
        <v>114</v>
      </c>
      <c r="H111" s="12" t="n">
        <v>75</v>
      </c>
      <c r="I111" s="11" t="n">
        <v>-1410924</v>
      </c>
      <c r="J111" s="11" t="n">
        <v>-2237829.51</v>
      </c>
      <c r="K111" s="12" t="n">
        <v>-18.95553073730406</v>
      </c>
      <c r="L111" s="11" t="n">
        <v>1767521.51</v>
      </c>
      <c r="M111" s="12" t="n">
        <v>-93.95553073730406</v>
      </c>
      <c r="N111" s="11" t="n">
        <v>475463.3466666667</v>
      </c>
      <c r="O111" s="11" t="n">
        <v>2356695.346666667</v>
      </c>
      <c r="P111" t="inlineStr">
        <is>
          <t>Review: non-positive budget</t>
        </is>
      </c>
      <c r="Q111" s="11" t="n">
        <v>1767521.51</v>
      </c>
    </row>
    <row r="112">
      <c r="A112" t="inlineStr">
        <is>
          <t>Austin Water</t>
        </is>
      </c>
      <c r="B112" t="inlineStr">
        <is>
          <t>Austin Water Water Utility Operating Fund</t>
        </is>
      </c>
      <c r="C112" t="inlineStr">
        <is>
          <t>Support Services</t>
        </is>
      </c>
      <c r="D112" t="inlineStr">
        <is>
          <t>Personnel &amp; benefits</t>
        </is>
      </c>
      <c r="E112" s="11" t="n">
        <v>18913371</v>
      </c>
      <c r="F112" s="11" t="n">
        <v>12428487.91</v>
      </c>
      <c r="G112" t="n">
        <v>286</v>
      </c>
      <c r="H112" s="12" t="n">
        <v>75</v>
      </c>
      <c r="I112" s="11" t="n">
        <v>14185028.25</v>
      </c>
      <c r="J112" s="11" t="n">
        <v>6484883.09</v>
      </c>
      <c r="K112" s="12" t="n">
        <v>65.71270615904484</v>
      </c>
      <c r="L112" s="11" t="n">
        <v>-1756540.34</v>
      </c>
      <c r="M112" s="12" t="n">
        <v>-9.287293840955158</v>
      </c>
      <c r="N112" s="11" t="n">
        <v>16571317.21333333</v>
      </c>
      <c r="O112" s="11" t="n">
        <v>-2342053.786666667</v>
      </c>
      <c r="P112" t="inlineStr">
        <is>
          <t>Below pace</t>
        </is>
      </c>
      <c r="Q112" s="11" t="n">
        <v>1756540.34</v>
      </c>
    </row>
    <row r="113">
      <c r="A113" t="inlineStr">
        <is>
          <t>Public Works</t>
        </is>
      </c>
      <c r="B113" t="inlineStr">
        <is>
          <t>Transportation Fund</t>
        </is>
      </c>
      <c r="C113" t="inlineStr">
        <is>
          <t>Transportation Engineering</t>
        </is>
      </c>
      <c r="D113" t="inlineStr">
        <is>
          <t>Contractual services</t>
        </is>
      </c>
      <c r="E113" s="11" t="n">
        <v>2341600</v>
      </c>
      <c r="F113" s="11" t="n">
        <v>7195.899999999998</v>
      </c>
      <c r="G113" t="n">
        <v>27</v>
      </c>
      <c r="H113" s="12" t="n">
        <v>75</v>
      </c>
      <c r="I113" s="11" t="n">
        <v>1756200</v>
      </c>
      <c r="J113" s="11" t="n">
        <v>2334404.1</v>
      </c>
      <c r="K113" s="12" t="n">
        <v>0.3073069695934403</v>
      </c>
      <c r="L113" s="11" t="n">
        <v>-1749004.1</v>
      </c>
      <c r="M113" s="12" t="n">
        <v>-74.69269303040656</v>
      </c>
      <c r="N113" s="11" t="n">
        <v>9594.533333333333</v>
      </c>
      <c r="O113" s="11" t="n">
        <v>-2332005.466666667</v>
      </c>
      <c r="P113" t="inlineStr">
        <is>
          <t>Below pace</t>
        </is>
      </c>
      <c r="Q113" s="11" t="n">
        <v>1749004.1</v>
      </c>
    </row>
    <row r="114">
      <c r="A114" t="inlineStr">
        <is>
          <t>Austin Convention Center</t>
        </is>
      </c>
      <c r="B114" t="inlineStr">
        <is>
          <t>Convention Center Operating Fund</t>
        </is>
      </c>
      <c r="C114" t="inlineStr">
        <is>
          <t>Event Operations</t>
        </is>
      </c>
      <c r="D114" t="inlineStr">
        <is>
          <t>Other operating costs</t>
        </is>
      </c>
      <c r="E114" s="11" t="n">
        <v>3317873</v>
      </c>
      <c r="F114" s="11" t="n">
        <v>756046.23</v>
      </c>
      <c r="G114" t="n">
        <v>408</v>
      </c>
      <c r="H114" s="12" t="n">
        <v>75</v>
      </c>
      <c r="I114" s="11" t="n">
        <v>2488404.75</v>
      </c>
      <c r="J114" s="11" t="n">
        <v>2561826.77</v>
      </c>
      <c r="K114" s="12" t="n">
        <v>22.78707563550504</v>
      </c>
      <c r="L114" s="11" t="n">
        <v>-1732358.52</v>
      </c>
      <c r="M114" s="12" t="n">
        <v>-52.21292436449497</v>
      </c>
      <c r="N114" s="11" t="n">
        <v>1008061.64</v>
      </c>
      <c r="O114" s="11" t="n">
        <v>-2309811.36</v>
      </c>
      <c r="P114" t="inlineStr">
        <is>
          <t>Below pace</t>
        </is>
      </c>
      <c r="Q114" s="11" t="n">
        <v>1732358.52</v>
      </c>
    </row>
    <row r="115">
      <c r="A115" t="inlineStr">
        <is>
          <t>Austin Water</t>
        </is>
      </c>
      <c r="B115" t="inlineStr">
        <is>
          <t>Austin Water Wastewater Utility Operating Fund</t>
        </is>
      </c>
      <c r="C115" t="inlineStr">
        <is>
          <t>Other Utility Program Requirements</t>
        </is>
      </c>
      <c r="D115" t="inlineStr">
        <is>
          <t>Contractual services</t>
        </is>
      </c>
      <c r="E115" s="11" t="n">
        <v>2313524</v>
      </c>
      <c r="F115" s="11" t="n">
        <v>10952.5</v>
      </c>
      <c r="G115" t="n">
        <v>9</v>
      </c>
      <c r="H115" s="12" t="n">
        <v>75</v>
      </c>
      <c r="I115" s="11" t="n">
        <v>1735143</v>
      </c>
      <c r="J115" s="11" t="n">
        <v>2302571.5</v>
      </c>
      <c r="K115" s="12" t="n">
        <v>0.4734119896746262</v>
      </c>
      <c r="L115" s="11" t="n">
        <v>-1724190.5</v>
      </c>
      <c r="M115" s="12" t="n">
        <v>-74.52658801032537</v>
      </c>
      <c r="N115" s="11" t="n">
        <v>14603.33333333333</v>
      </c>
      <c r="O115" s="11" t="n">
        <v>-2298920.666666667</v>
      </c>
      <c r="P115" t="inlineStr">
        <is>
          <t>Below pace</t>
        </is>
      </c>
      <c r="Q115" s="11" t="n">
        <v>1724190.5</v>
      </c>
    </row>
    <row r="116">
      <c r="A116" t="inlineStr">
        <is>
          <t>Economic Development</t>
        </is>
      </c>
      <c r="B116" t="inlineStr">
        <is>
          <t>Economic Development Fund</t>
        </is>
      </c>
      <c r="C116" t="inlineStr">
        <is>
          <t>Small Business Program</t>
        </is>
      </c>
      <c r="D116" t="inlineStr">
        <is>
          <t>Grants &amp; contributions</t>
        </is>
      </c>
      <c r="E116" s="11" t="n">
        <v>2408329</v>
      </c>
      <c r="F116" s="11" t="n">
        <v>116472.05</v>
      </c>
      <c r="G116" t="n">
        <v>2</v>
      </c>
      <c r="H116" s="12" t="n">
        <v>75</v>
      </c>
      <c r="I116" s="11" t="n">
        <v>1806246.75</v>
      </c>
      <c r="J116" s="11" t="n">
        <v>2291856.95</v>
      </c>
      <c r="K116" s="12" t="n">
        <v>4.836218390427554</v>
      </c>
      <c r="L116" s="11" t="n">
        <v>-1689774.7</v>
      </c>
      <c r="M116" s="12" t="n">
        <v>-70.16378160957245</v>
      </c>
      <c r="N116" s="11" t="n">
        <v>155296.0666666667</v>
      </c>
      <c r="O116" s="11" t="n">
        <v>-2253032.933333333</v>
      </c>
      <c r="P116" t="inlineStr">
        <is>
          <t>Below pace</t>
        </is>
      </c>
      <c r="Q116" s="11" t="n">
        <v>1689774.7</v>
      </c>
    </row>
    <row r="117">
      <c r="A117" t="inlineStr">
        <is>
          <t>Financial Services</t>
        </is>
      </c>
      <c r="B117" t="inlineStr">
        <is>
          <t>Support Services Fund</t>
        </is>
      </c>
      <c r="C117" t="inlineStr">
        <is>
          <t>Central Procurement</t>
        </is>
      </c>
      <c r="D117" t="inlineStr">
        <is>
          <t>Personnel &amp; benefits</t>
        </is>
      </c>
      <c r="E117" s="11" t="n">
        <v>12975691</v>
      </c>
      <c r="F117" s="11" t="n">
        <v>11391619.26</v>
      </c>
      <c r="G117" t="n">
        <v>48</v>
      </c>
      <c r="H117" s="12" t="n">
        <v>75</v>
      </c>
      <c r="I117" s="11" t="n">
        <v>9731768.25</v>
      </c>
      <c r="J117" s="11" t="n">
        <v>1584071.74</v>
      </c>
      <c r="K117" s="12" t="n">
        <v>87.7920047572033</v>
      </c>
      <c r="L117" s="11" t="n">
        <v>1659851.01</v>
      </c>
      <c r="M117" s="12" t="n">
        <v>12.7920047572033</v>
      </c>
      <c r="N117" s="11" t="n">
        <v>15188825.68</v>
      </c>
      <c r="O117" s="11" t="n">
        <v>2213134.68</v>
      </c>
      <c r="P117" t="inlineStr">
        <is>
          <t>Above pace</t>
        </is>
      </c>
      <c r="Q117" s="11" t="n">
        <v>1659851.01</v>
      </c>
    </row>
    <row r="118">
      <c r="A118" t="inlineStr">
        <is>
          <t>Austin Public Health</t>
        </is>
      </c>
      <c r="B118" t="inlineStr">
        <is>
          <t>General Fund</t>
        </is>
      </c>
      <c r="C118" t="inlineStr">
        <is>
          <t>Transfers, Debt Service, and Other Requirements</t>
        </is>
      </c>
      <c r="D118" t="inlineStr">
        <is>
          <t>Grants &amp; contributions</t>
        </is>
      </c>
      <c r="E118" s="11" t="n">
        <v>-2211886</v>
      </c>
      <c r="F118" s="11" t="n">
        <v>0</v>
      </c>
      <c r="G118" t="n">
        <v>1</v>
      </c>
      <c r="H118" s="12" t="n">
        <v>75</v>
      </c>
      <c r="I118" s="11" t="n">
        <v>-1658914.5</v>
      </c>
      <c r="J118" s="11" t="n">
        <v>-2211886</v>
      </c>
      <c r="K118" s="12" t="n">
        <v>-0</v>
      </c>
      <c r="L118" s="11" t="n">
        <v>1658914.5</v>
      </c>
      <c r="M118" s="12" t="n">
        <v>-75</v>
      </c>
      <c r="N118" s="11" t="n">
        <v>0</v>
      </c>
      <c r="O118" s="11" t="n">
        <v>2211886</v>
      </c>
      <c r="P118" t="inlineStr">
        <is>
          <t>Review: non-positive budget</t>
        </is>
      </c>
      <c r="Q118" s="11" t="n">
        <v>1658914.5</v>
      </c>
    </row>
    <row r="119">
      <c r="A119" t="inlineStr">
        <is>
          <t>Parks &amp; Recreation</t>
        </is>
      </c>
      <c r="B119" t="inlineStr">
        <is>
          <t>General Fund</t>
        </is>
      </c>
      <c r="C119" t="inlineStr">
        <is>
          <t>Community Services</t>
        </is>
      </c>
      <c r="D119" t="inlineStr">
        <is>
          <t>Contractual services</t>
        </is>
      </c>
      <c r="E119" s="11" t="n">
        <v>9041769</v>
      </c>
      <c r="F119" s="11" t="n">
        <v>5179224.37</v>
      </c>
      <c r="G119" t="n">
        <v>467</v>
      </c>
      <c r="H119" s="12" t="n">
        <v>75</v>
      </c>
      <c r="I119" s="11" t="n">
        <v>6781326.75</v>
      </c>
      <c r="J119" s="11" t="n">
        <v>3862544.63</v>
      </c>
      <c r="K119" s="12" t="n">
        <v>57.28109587847246</v>
      </c>
      <c r="L119" s="11" t="n">
        <v>-1602102.38</v>
      </c>
      <c r="M119" s="12" t="n">
        <v>-17.71890412152754</v>
      </c>
      <c r="N119" s="11" t="n">
        <v>6905632.493333333</v>
      </c>
      <c r="O119" s="11" t="n">
        <v>-2136136.506666667</v>
      </c>
      <c r="P119" t="inlineStr">
        <is>
          <t>Below pace</t>
        </is>
      </c>
      <c r="Q119" s="11" t="n">
        <v>1602102.38</v>
      </c>
    </row>
    <row r="120">
      <c r="A120" t="inlineStr">
        <is>
          <t>Austin Water</t>
        </is>
      </c>
      <c r="B120" t="inlineStr">
        <is>
          <t>Austin Water Wastewater Utility Operating Fund</t>
        </is>
      </c>
      <c r="C120" t="inlineStr">
        <is>
          <t>Environmental, Planning, and Development Services</t>
        </is>
      </c>
      <c r="D120" t="inlineStr">
        <is>
          <t>Personnel &amp; benefits</t>
        </is>
      </c>
      <c r="E120" s="11" t="n">
        <v>6222906</v>
      </c>
      <c r="F120" s="11" t="n">
        <v>6259126.44</v>
      </c>
      <c r="G120" t="n">
        <v>63</v>
      </c>
      <c r="H120" s="12" t="n">
        <v>75</v>
      </c>
      <c r="I120" s="11" t="n">
        <v>4667179.5</v>
      </c>
      <c r="J120" s="11" t="n">
        <v>-36220.44000000041</v>
      </c>
      <c r="K120" s="12" t="n">
        <v>100.5820502511206</v>
      </c>
      <c r="L120" s="11" t="n">
        <v>1591946.94</v>
      </c>
      <c r="M120" s="12" t="n">
        <v>25.58205025112062</v>
      </c>
      <c r="N120" s="11" t="n">
        <v>8345501.920000001</v>
      </c>
      <c r="O120" s="11" t="n">
        <v>2122595.920000001</v>
      </c>
      <c r="P120" t="inlineStr">
        <is>
          <t>Above pace</t>
        </is>
      </c>
      <c r="Q120" s="11" t="n">
        <v>1591946.94</v>
      </c>
    </row>
    <row r="121">
      <c r="A121" t="inlineStr">
        <is>
          <t>Austin Public Library</t>
        </is>
      </c>
      <c r="B121" t="inlineStr">
        <is>
          <t>General Fund</t>
        </is>
      </c>
      <c r="C121" t="inlineStr">
        <is>
          <t>Support Services</t>
        </is>
      </c>
      <c r="D121" t="inlineStr">
        <is>
          <t>Supplies, technology &amp; equipment</t>
        </is>
      </c>
      <c r="E121" s="11" t="n">
        <v>2829511</v>
      </c>
      <c r="F121" s="11" t="n">
        <v>535763.8099999999</v>
      </c>
      <c r="G121" t="n">
        <v>46</v>
      </c>
      <c r="H121" s="12" t="n">
        <v>75</v>
      </c>
      <c r="I121" s="11" t="n">
        <v>2122133.25</v>
      </c>
      <c r="J121" s="11" t="n">
        <v>2293747.19</v>
      </c>
      <c r="K121" s="12" t="n">
        <v>18.93485517462204</v>
      </c>
      <c r="L121" s="11" t="n">
        <v>-1586369.44</v>
      </c>
      <c r="M121" s="12" t="n">
        <v>-56.06514482537796</v>
      </c>
      <c r="N121" s="11" t="n">
        <v>714351.7466666666</v>
      </c>
      <c r="O121" s="11" t="n">
        <v>-2115159.253333333</v>
      </c>
      <c r="P121" t="inlineStr">
        <is>
          <t>Below pace</t>
        </is>
      </c>
      <c r="Q121" s="11" t="n">
        <v>1586369.44</v>
      </c>
    </row>
    <row r="122">
      <c r="A122" t="inlineStr">
        <is>
          <t>Economic Development</t>
        </is>
      </c>
      <c r="B122" t="inlineStr">
        <is>
          <t>Economic Development Fund</t>
        </is>
      </c>
      <c r="C122" t="inlineStr">
        <is>
          <t>Workforce Development and Childcare</t>
        </is>
      </c>
      <c r="D122" t="inlineStr">
        <is>
          <t>Grants &amp; contributions</t>
        </is>
      </c>
      <c r="E122" s="11" t="n">
        <v>3318384</v>
      </c>
      <c r="F122" s="11" t="n">
        <v>921781.65</v>
      </c>
      <c r="G122" t="n">
        <v>3</v>
      </c>
      <c r="H122" s="12" t="n">
        <v>75</v>
      </c>
      <c r="I122" s="11" t="n">
        <v>2488788</v>
      </c>
      <c r="J122" s="11" t="n">
        <v>2396602.35</v>
      </c>
      <c r="K122" s="12" t="n">
        <v>27.77802840177629</v>
      </c>
      <c r="L122" s="11" t="n">
        <v>-1567006.35</v>
      </c>
      <c r="M122" s="12" t="n">
        <v>-47.22197159822372</v>
      </c>
      <c r="N122" s="11" t="n">
        <v>1229042.2</v>
      </c>
      <c r="O122" s="11" t="n">
        <v>-2089341.8</v>
      </c>
      <c r="P122" t="inlineStr">
        <is>
          <t>Below pace</t>
        </is>
      </c>
      <c r="Q122" s="11" t="n">
        <v>1567006.35</v>
      </c>
    </row>
    <row r="123">
      <c r="A123" t="inlineStr">
        <is>
          <t>Homeless Strategy Office</t>
        </is>
      </c>
      <c r="B123" t="inlineStr">
        <is>
          <t>General Fund</t>
        </is>
      </c>
      <c r="C123" t="inlineStr">
        <is>
          <t>Homeless Strategy Office</t>
        </is>
      </c>
      <c r="D123" t="inlineStr">
        <is>
          <t>Grants &amp; contributions</t>
        </is>
      </c>
      <c r="E123" s="11" t="n">
        <v>5000000</v>
      </c>
      <c r="F123" s="11" t="n">
        <v>2188783.56</v>
      </c>
      <c r="G123" t="n">
        <v>2</v>
      </c>
      <c r="H123" s="12" t="n">
        <v>75</v>
      </c>
      <c r="I123" s="11" t="n">
        <v>3750000</v>
      </c>
      <c r="J123" s="11" t="n">
        <v>2811216.44</v>
      </c>
      <c r="K123" s="12" t="n">
        <v>43.7756712</v>
      </c>
      <c r="L123" s="11" t="n">
        <v>-1561216.44</v>
      </c>
      <c r="M123" s="12" t="n">
        <v>-31.2243288</v>
      </c>
      <c r="N123" s="11" t="n">
        <v>2918378.08</v>
      </c>
      <c r="O123" s="11" t="n">
        <v>-2081621.92</v>
      </c>
      <c r="P123" t="inlineStr">
        <is>
          <t>Below pace</t>
        </is>
      </c>
      <c r="Q123" s="11" t="n">
        <v>1561216.44</v>
      </c>
    </row>
    <row r="124">
      <c r="A124" t="inlineStr">
        <is>
          <t>Austin Transportation</t>
        </is>
      </c>
      <c r="B124" t="inlineStr">
        <is>
          <t>Transportation Inventory Fund</t>
        </is>
      </c>
      <c r="C124" t="inlineStr">
        <is>
          <t>Miscellaneous</t>
        </is>
      </c>
      <c r="D124" t="inlineStr">
        <is>
          <t>Other operating costs</t>
        </is>
      </c>
      <c r="E124" s="11" t="n">
        <v>0</v>
      </c>
      <c r="F124" s="11" t="n">
        <v>-1554735.03</v>
      </c>
      <c r="G124" t="n">
        <v>1</v>
      </c>
      <c r="H124" s="12" t="n">
        <v>75</v>
      </c>
      <c r="I124" s="11" t="n">
        <v>0</v>
      </c>
      <c r="J124" s="11" t="n">
        <v>1554735.03</v>
      </c>
      <c r="K124" s="12" t="n"/>
      <c r="L124" s="11" t="n">
        <v>-1554735.03</v>
      </c>
      <c r="M124" s="12" t="n"/>
      <c r="N124" s="11" t="n">
        <v>-2072980.04</v>
      </c>
      <c r="O124" s="11" t="n">
        <v>-2072980.04</v>
      </c>
      <c r="P124" t="inlineStr">
        <is>
          <t>Review: non-positive budget</t>
        </is>
      </c>
      <c r="Q124" s="11" t="n">
        <v>1554735.03</v>
      </c>
    </row>
    <row r="125">
      <c r="A125" t="inlineStr">
        <is>
          <t>Austin Public Health</t>
        </is>
      </c>
      <c r="B125" t="inlineStr">
        <is>
          <t>General Fund</t>
        </is>
      </c>
      <c r="C125" t="inlineStr">
        <is>
          <t>Transfers, Debt Service, and Other Requirements</t>
        </is>
      </c>
      <c r="D125" t="inlineStr">
        <is>
          <t>Personnel &amp; benefits</t>
        </is>
      </c>
      <c r="E125" s="11" t="n">
        <v>4877971</v>
      </c>
      <c r="F125" s="11" t="n">
        <v>2103807.22</v>
      </c>
      <c r="G125" t="n">
        <v>2</v>
      </c>
      <c r="H125" s="12" t="n">
        <v>75</v>
      </c>
      <c r="I125" s="11" t="n">
        <v>3658478.25</v>
      </c>
      <c r="J125" s="11" t="n">
        <v>2774163.78</v>
      </c>
      <c r="K125" s="12" t="n">
        <v>43.12873569769071</v>
      </c>
      <c r="L125" s="11" t="n">
        <v>-1554671.03</v>
      </c>
      <c r="M125" s="12" t="n">
        <v>-31.87126430230929</v>
      </c>
      <c r="N125" s="11" t="n">
        <v>2805076.293333333</v>
      </c>
      <c r="O125" s="11" t="n">
        <v>-2072894.706666666</v>
      </c>
      <c r="P125" t="inlineStr">
        <is>
          <t>Below pace</t>
        </is>
      </c>
      <c r="Q125" s="11" t="n">
        <v>1554671.03</v>
      </c>
    </row>
    <row r="126">
      <c r="A126" t="inlineStr">
        <is>
          <t>Building Services</t>
        </is>
      </c>
      <c r="B126" t="inlineStr">
        <is>
          <t>Public Safety HQ Fund</t>
        </is>
      </c>
      <c r="C126" t="inlineStr">
        <is>
          <t>Facility and Project Management</t>
        </is>
      </c>
      <c r="D126" t="inlineStr">
        <is>
          <t>Other operating costs</t>
        </is>
      </c>
      <c r="E126" s="11" t="n">
        <v>2525000</v>
      </c>
      <c r="F126" s="11" t="n">
        <v>351631.48</v>
      </c>
      <c r="G126" t="n">
        <v>9</v>
      </c>
      <c r="H126" s="12" t="n">
        <v>75</v>
      </c>
      <c r="I126" s="11" t="n">
        <v>1893750</v>
      </c>
      <c r="J126" s="11" t="n">
        <v>2173368.52</v>
      </c>
      <c r="K126" s="12" t="n">
        <v>13.92599920792079</v>
      </c>
      <c r="L126" s="11" t="n">
        <v>-1542118.52</v>
      </c>
      <c r="M126" s="12" t="n">
        <v>-61.0740007920792</v>
      </c>
      <c r="N126" s="11" t="n">
        <v>468841.9733333333</v>
      </c>
      <c r="O126" s="11" t="n">
        <v>-2056158.026666666</v>
      </c>
      <c r="P126" t="inlineStr">
        <is>
          <t>Below pace</t>
        </is>
      </c>
      <c r="Q126" s="11" t="n">
        <v>1542118.52</v>
      </c>
    </row>
    <row r="127">
      <c r="A127" t="inlineStr">
        <is>
          <t>Austin Convention Center</t>
        </is>
      </c>
      <c r="B127" t="inlineStr">
        <is>
          <t>Convention Center Palmer Events Center Operating Fund</t>
        </is>
      </c>
      <c r="C127" t="inlineStr">
        <is>
          <t>Transfers, Debt Service, and Other Requirements</t>
        </is>
      </c>
      <c r="D127" t="inlineStr">
        <is>
          <t>Transfers &amp; debt service</t>
        </is>
      </c>
      <c r="E127" s="11" t="n">
        <v>4994360</v>
      </c>
      <c r="F127" s="11" t="n">
        <v>5254004</v>
      </c>
      <c r="G127" t="n">
        <v>2</v>
      </c>
      <c r="H127" s="12" t="n">
        <v>75</v>
      </c>
      <c r="I127" s="11" t="n">
        <v>3745770</v>
      </c>
      <c r="J127" s="11" t="n">
        <v>-259644</v>
      </c>
      <c r="K127" s="12" t="n">
        <v>105.1987441834389</v>
      </c>
      <c r="L127" s="11" t="n">
        <v>1508234</v>
      </c>
      <c r="M127" s="12" t="n">
        <v>30.19874418343892</v>
      </c>
      <c r="N127" s="11" t="n">
        <v>7005338.666666667</v>
      </c>
      <c r="O127" s="11" t="n">
        <v>2010978.666666667</v>
      </c>
      <c r="P127" t="inlineStr">
        <is>
          <t>Above pace</t>
        </is>
      </c>
      <c r="Q127" s="11" t="n">
        <v>1508234</v>
      </c>
    </row>
    <row r="128">
      <c r="A128" t="inlineStr">
        <is>
          <t>Fire</t>
        </is>
      </c>
      <c r="B128" t="inlineStr">
        <is>
          <t>General Fund</t>
        </is>
      </c>
      <c r="C128" t="inlineStr">
        <is>
          <t>Transfers, Debt Service, and Other Requirements</t>
        </is>
      </c>
      <c r="D128" t="inlineStr">
        <is>
          <t>Contractual services</t>
        </is>
      </c>
      <c r="E128" s="11" t="n">
        <v>17946590</v>
      </c>
      <c r="F128" s="11" t="n">
        <v>14962217.9</v>
      </c>
      <c r="G128" t="n">
        <v>1</v>
      </c>
      <c r="H128" s="12" t="n">
        <v>75</v>
      </c>
      <c r="I128" s="11" t="n">
        <v>13459942.5</v>
      </c>
      <c r="J128" s="11" t="n">
        <v>2984372.1</v>
      </c>
      <c r="K128" s="12" t="n">
        <v>83.37081250532832</v>
      </c>
      <c r="L128" s="11" t="n">
        <v>1502275.4</v>
      </c>
      <c r="M128" s="12" t="n">
        <v>8.370812505328317</v>
      </c>
      <c r="N128" s="11" t="n">
        <v>19949623.86666667</v>
      </c>
      <c r="O128" s="11" t="n">
        <v>2003033.866666667</v>
      </c>
      <c r="P128" t="inlineStr">
        <is>
          <t>Above pace</t>
        </is>
      </c>
      <c r="Q128" s="11" t="n">
        <v>1502275.4</v>
      </c>
    </row>
    <row r="129">
      <c r="A129" t="inlineStr">
        <is>
          <t>Austin Resource Recovery</t>
        </is>
      </c>
      <c r="B129" t="inlineStr">
        <is>
          <t>Austin Resource Recovery Fund</t>
        </is>
      </c>
      <c r="C129" t="inlineStr">
        <is>
          <t>Collection Services</t>
        </is>
      </c>
      <c r="D129" t="inlineStr">
        <is>
          <t>Other operating costs</t>
        </is>
      </c>
      <c r="E129" s="11" t="n">
        <v>16712533</v>
      </c>
      <c r="F129" s="11" t="n">
        <v>14034675.5</v>
      </c>
      <c r="G129" t="n">
        <v>181</v>
      </c>
      <c r="H129" s="12" t="n">
        <v>75</v>
      </c>
      <c r="I129" s="11" t="n">
        <v>12534399.75</v>
      </c>
      <c r="J129" s="11" t="n">
        <v>2677857.5</v>
      </c>
      <c r="K129" s="12" t="n">
        <v>83.9769501128285</v>
      </c>
      <c r="L129" s="11" t="n">
        <v>1500275.75</v>
      </c>
      <c r="M129" s="12" t="n">
        <v>8.976950112828504</v>
      </c>
      <c r="N129" s="11" t="n">
        <v>18712900.66666667</v>
      </c>
      <c r="O129" s="11" t="n">
        <v>2000367.666666668</v>
      </c>
      <c r="P129" t="inlineStr">
        <is>
          <t>Above pace</t>
        </is>
      </c>
      <c r="Q129" s="11" t="n">
        <v>1500275.75</v>
      </c>
    </row>
    <row r="130">
      <c r="A130" t="inlineStr">
        <is>
          <t>Austin Water</t>
        </is>
      </c>
      <c r="B130" t="inlineStr">
        <is>
          <t>Austin Water Water Utility Operating Fund</t>
        </is>
      </c>
      <c r="C130" t="inlineStr">
        <is>
          <t>Customer Experience</t>
        </is>
      </c>
      <c r="D130" t="inlineStr">
        <is>
          <t>Contractual services</t>
        </is>
      </c>
      <c r="E130" s="11" t="n">
        <v>2218097</v>
      </c>
      <c r="F130" s="11" t="n">
        <v>169769.82</v>
      </c>
      <c r="G130" t="n">
        <v>20</v>
      </c>
      <c r="H130" s="12" t="n">
        <v>75</v>
      </c>
      <c r="I130" s="11" t="n">
        <v>1663572.75</v>
      </c>
      <c r="J130" s="11" t="n">
        <v>2048327.18</v>
      </c>
      <c r="K130" s="12" t="n">
        <v>7.653850124678947</v>
      </c>
      <c r="L130" s="11" t="n">
        <v>-1493802.93</v>
      </c>
      <c r="M130" s="12" t="n">
        <v>-67.34614987532105</v>
      </c>
      <c r="N130" s="11" t="n">
        <v>226359.76</v>
      </c>
      <c r="O130" s="11" t="n">
        <v>-1991737.24</v>
      </c>
      <c r="P130" t="inlineStr">
        <is>
          <t>Below pace</t>
        </is>
      </c>
      <c r="Q130" s="11" t="n">
        <v>1493802.93</v>
      </c>
    </row>
    <row r="131">
      <c r="A131" t="inlineStr">
        <is>
          <t>Parks &amp; Recreation</t>
        </is>
      </c>
      <c r="B131" t="inlineStr">
        <is>
          <t>General Fund</t>
        </is>
      </c>
      <c r="C131" t="inlineStr">
        <is>
          <t>Community Services</t>
        </is>
      </c>
      <c r="D131" t="inlineStr">
        <is>
          <t>Personnel &amp; benefits</t>
        </is>
      </c>
      <c r="E131" s="11" t="n">
        <v>44300646.2</v>
      </c>
      <c r="F131" s="11" t="n">
        <v>34706108.87</v>
      </c>
      <c r="G131" t="n">
        <v>741</v>
      </c>
      <c r="H131" s="12" t="n">
        <v>75</v>
      </c>
      <c r="I131" s="11" t="n">
        <v>33225484.65</v>
      </c>
      <c r="J131" s="11" t="n">
        <v>9594537.330000006</v>
      </c>
      <c r="K131" s="12" t="n">
        <v>78.34221810967622</v>
      </c>
      <c r="L131" s="11" t="n">
        <v>1480624.219999995</v>
      </c>
      <c r="M131" s="12" t="n">
        <v>3.342218109676224</v>
      </c>
      <c r="N131" s="11" t="n">
        <v>46274811.82666666</v>
      </c>
      <c r="O131" s="11" t="n">
        <v>1974165.626666658</v>
      </c>
      <c r="P131" t="inlineStr">
        <is>
          <t>Near pace</t>
        </is>
      </c>
      <c r="Q131" s="11" t="n">
        <v>1480624.219999995</v>
      </c>
    </row>
    <row r="132">
      <c r="A132" t="inlineStr">
        <is>
          <t>Fire</t>
        </is>
      </c>
      <c r="B132" t="inlineStr">
        <is>
          <t>General Fund</t>
        </is>
      </c>
      <c r="C132" t="inlineStr">
        <is>
          <t>Fire / Emergency Response</t>
        </is>
      </c>
      <c r="D132" t="inlineStr">
        <is>
          <t>Grants &amp; contributions</t>
        </is>
      </c>
      <c r="E132" s="11" t="n">
        <v>16529285</v>
      </c>
      <c r="F132" s="11" t="n">
        <v>13874159.61</v>
      </c>
      <c r="G132" t="n">
        <v>5</v>
      </c>
      <c r="H132" s="12" t="n">
        <v>75</v>
      </c>
      <c r="I132" s="11" t="n">
        <v>12396963.75</v>
      </c>
      <c r="J132" s="11" t="n">
        <v>2655125.389999999</v>
      </c>
      <c r="K132" s="12" t="n">
        <v>83.93684064374231</v>
      </c>
      <c r="L132" s="11" t="n">
        <v>1477195.860000001</v>
      </c>
      <c r="M132" s="12" t="n">
        <v>8.936840643742315</v>
      </c>
      <c r="N132" s="11" t="n">
        <v>18498879.48</v>
      </c>
      <c r="O132" s="11" t="n">
        <v>1969594.48</v>
      </c>
      <c r="P132" t="inlineStr">
        <is>
          <t>Above pace</t>
        </is>
      </c>
      <c r="Q132" s="11" t="n">
        <v>1477195.860000001</v>
      </c>
    </row>
    <row r="133">
      <c r="A133" t="inlineStr">
        <is>
          <t>Austin Water</t>
        </is>
      </c>
      <c r="B133" t="inlineStr">
        <is>
          <t>Austin Water Water Utility Operating Fund</t>
        </is>
      </c>
      <c r="C133" t="inlineStr">
        <is>
          <t>Transfers, Debt Service, and Other Requirements</t>
        </is>
      </c>
      <c r="D133" t="inlineStr">
        <is>
          <t>Other operating costs</t>
        </is>
      </c>
      <c r="E133" s="11" t="n">
        <v>18983537</v>
      </c>
      <c r="F133" s="11" t="n">
        <v>15699742.65</v>
      </c>
      <c r="G133" t="n">
        <v>10</v>
      </c>
      <c r="H133" s="12" t="n">
        <v>75</v>
      </c>
      <c r="I133" s="11" t="n">
        <v>14237652.75</v>
      </c>
      <c r="J133" s="11" t="n">
        <v>3283794.35</v>
      </c>
      <c r="K133" s="12" t="n">
        <v>82.70188347935371</v>
      </c>
      <c r="L133" s="11" t="n">
        <v>1462089.9</v>
      </c>
      <c r="M133" s="12" t="n">
        <v>7.701883479353711</v>
      </c>
      <c r="N133" s="11" t="n">
        <v>20932990.2</v>
      </c>
      <c r="O133" s="11" t="n">
        <v>1949453.199999999</v>
      </c>
      <c r="P133" t="inlineStr">
        <is>
          <t>Above pace</t>
        </is>
      </c>
      <c r="Q133" s="11" t="n">
        <v>1462089.9</v>
      </c>
    </row>
    <row r="134">
      <c r="A134" t="inlineStr">
        <is>
          <t>Austin Public Library</t>
        </is>
      </c>
      <c r="B134" t="inlineStr">
        <is>
          <t>General Fund</t>
        </is>
      </c>
      <c r="C134" t="inlineStr">
        <is>
          <t>Public Services</t>
        </is>
      </c>
      <c r="D134" t="inlineStr">
        <is>
          <t>Personnel &amp; benefits</t>
        </is>
      </c>
      <c r="E134" s="11" t="n">
        <v>24288944</v>
      </c>
      <c r="F134" s="11" t="n">
        <v>19669224.7</v>
      </c>
      <c r="G134" t="n">
        <v>106</v>
      </c>
      <c r="H134" s="12" t="n">
        <v>75</v>
      </c>
      <c r="I134" s="11" t="n">
        <v>18216708</v>
      </c>
      <c r="J134" s="11" t="n">
        <v>4619719.300000001</v>
      </c>
      <c r="K134" s="12" t="n">
        <v>80.9801558272768</v>
      </c>
      <c r="L134" s="11" t="n">
        <v>1452516.699999999</v>
      </c>
      <c r="M134" s="12" t="n">
        <v>5.980155827276803</v>
      </c>
      <c r="N134" s="11" t="n">
        <v>26225632.93333333</v>
      </c>
      <c r="O134" s="11" t="n">
        <v>1936688.933333334</v>
      </c>
      <c r="P134" t="inlineStr">
        <is>
          <t>Above pace</t>
        </is>
      </c>
      <c r="Q134" s="11" t="n">
        <v>1452516.699999999</v>
      </c>
    </row>
    <row r="135">
      <c r="A135" t="inlineStr">
        <is>
          <t>Communications &amp; Technology Management</t>
        </is>
      </c>
      <c r="B135" t="inlineStr">
        <is>
          <t>Combined Transportation, Emergency &amp; Communications Ctr Fund</t>
        </is>
      </c>
      <c r="C135" t="inlineStr">
        <is>
          <t>CTECC and Public Safety IT Support</t>
        </is>
      </c>
      <c r="D135" t="inlineStr">
        <is>
          <t>Contractual services</t>
        </is>
      </c>
      <c r="E135" s="11" t="n">
        <v>11563929</v>
      </c>
      <c r="F135" s="11" t="n">
        <v>7260096.07</v>
      </c>
      <c r="G135" t="n">
        <v>31</v>
      </c>
      <c r="H135" s="12" t="n">
        <v>75</v>
      </c>
      <c r="I135" s="11" t="n">
        <v>8672946.75</v>
      </c>
      <c r="J135" s="11" t="n">
        <v>4303832.93</v>
      </c>
      <c r="K135" s="12" t="n">
        <v>62.78226085615019</v>
      </c>
      <c r="L135" s="11" t="n">
        <v>-1412850.68</v>
      </c>
      <c r="M135" s="12" t="n">
        <v>-12.21773914384981</v>
      </c>
      <c r="N135" s="11" t="n">
        <v>9680128.093333334</v>
      </c>
      <c r="O135" s="11" t="n">
        <v>-1883800.906666667</v>
      </c>
      <c r="P135" t="inlineStr">
        <is>
          <t>Below pace</t>
        </is>
      </c>
      <c r="Q135" s="11" t="n">
        <v>1412850.68</v>
      </c>
    </row>
    <row r="136">
      <c r="A136" t="inlineStr">
        <is>
          <t>Fire</t>
        </is>
      </c>
      <c r="B136" t="inlineStr">
        <is>
          <t>General Fund</t>
        </is>
      </c>
      <c r="C136" t="inlineStr">
        <is>
          <t>Operations Support</t>
        </is>
      </c>
      <c r="D136" t="inlineStr">
        <is>
          <t>Supplies, technology &amp; equipment</t>
        </is>
      </c>
      <c r="E136" s="11" t="n">
        <v>4453171</v>
      </c>
      <c r="F136" s="11" t="n">
        <v>1930434.12</v>
      </c>
      <c r="G136" t="n">
        <v>124</v>
      </c>
      <c r="H136" s="12" t="n">
        <v>75</v>
      </c>
      <c r="I136" s="11" t="n">
        <v>3339878.25</v>
      </c>
      <c r="J136" s="11" t="n">
        <v>2522736.88</v>
      </c>
      <c r="K136" s="12" t="n">
        <v>43.34965174254481</v>
      </c>
      <c r="L136" s="11" t="n">
        <v>-1409444.13</v>
      </c>
      <c r="M136" s="12" t="n">
        <v>-31.65034825745519</v>
      </c>
      <c r="N136" s="11" t="n">
        <v>2573912.16</v>
      </c>
      <c r="O136" s="11" t="n">
        <v>-1879258.84</v>
      </c>
      <c r="P136" t="inlineStr">
        <is>
          <t>Below pace</t>
        </is>
      </c>
      <c r="Q136" s="11" t="n">
        <v>1409444.13</v>
      </c>
    </row>
    <row r="137">
      <c r="A137" t="inlineStr">
        <is>
          <t>Communications &amp; Technology Management</t>
        </is>
      </c>
      <c r="B137" t="inlineStr">
        <is>
          <t>Information and Technology Fund</t>
        </is>
      </c>
      <c r="C137" t="inlineStr">
        <is>
          <t>Customer Engagement</t>
        </is>
      </c>
      <c r="D137" t="inlineStr">
        <is>
          <t>Personnel &amp; benefits</t>
        </is>
      </c>
      <c r="E137" s="11" t="n">
        <v>4607995</v>
      </c>
      <c r="F137" s="11" t="n">
        <v>4864757</v>
      </c>
      <c r="G137" t="n">
        <v>36</v>
      </c>
      <c r="H137" s="12" t="n">
        <v>75</v>
      </c>
      <c r="I137" s="11" t="n">
        <v>3455996.25</v>
      </c>
      <c r="J137" s="11" t="n">
        <v>-256762</v>
      </c>
      <c r="K137" s="12" t="n">
        <v>105.5720980600022</v>
      </c>
      <c r="L137" s="11" t="n">
        <v>1408760.75</v>
      </c>
      <c r="M137" s="12" t="n">
        <v>30.57209806000224</v>
      </c>
      <c r="N137" s="11" t="n">
        <v>6486342.666666667</v>
      </c>
      <c r="O137" s="11" t="n">
        <v>1878347.666666667</v>
      </c>
      <c r="P137" t="inlineStr">
        <is>
          <t>Above pace</t>
        </is>
      </c>
      <c r="Q137" s="11" t="n">
        <v>1408760.75</v>
      </c>
    </row>
    <row r="138">
      <c r="A138" t="inlineStr">
        <is>
          <t>Financial Services</t>
        </is>
      </c>
      <c r="B138" t="inlineStr">
        <is>
          <t>Whisper Valley Public Improvement District Fund</t>
        </is>
      </c>
      <c r="C138" t="inlineStr">
        <is>
          <t>Public Improvement District</t>
        </is>
      </c>
      <c r="D138" t="inlineStr">
        <is>
          <t>Contractual services</t>
        </is>
      </c>
      <c r="E138" s="11" t="n">
        <v>4187399</v>
      </c>
      <c r="F138" s="11" t="n">
        <v>1743588.05</v>
      </c>
      <c r="G138" t="n">
        <v>4</v>
      </c>
      <c r="H138" s="12" t="n">
        <v>75</v>
      </c>
      <c r="I138" s="11" t="n">
        <v>3140549.25</v>
      </c>
      <c r="J138" s="11" t="n">
        <v>2443810.95</v>
      </c>
      <c r="K138" s="12" t="n">
        <v>41.63892788817115</v>
      </c>
      <c r="L138" s="11" t="n">
        <v>-1396961.2</v>
      </c>
      <c r="M138" s="12" t="n">
        <v>-33.36107211182885</v>
      </c>
      <c r="N138" s="11" t="n">
        <v>2324784.066666666</v>
      </c>
      <c r="O138" s="11" t="n">
        <v>-1862614.933333334</v>
      </c>
      <c r="P138" t="inlineStr">
        <is>
          <t>Below pace</t>
        </is>
      </c>
      <c r="Q138" s="11" t="n">
        <v>1396961.2</v>
      </c>
    </row>
    <row r="139">
      <c r="A139" t="inlineStr">
        <is>
          <t>Public Works</t>
        </is>
      </c>
      <c r="B139" t="inlineStr">
        <is>
          <t>Transportation Fund</t>
        </is>
      </c>
      <c r="C139" t="inlineStr">
        <is>
          <t>Street Preventive Maintenance</t>
        </is>
      </c>
      <c r="D139" t="inlineStr">
        <is>
          <t>Contractual services</t>
        </is>
      </c>
      <c r="E139" s="11" t="n">
        <v>12471248</v>
      </c>
      <c r="F139" s="11" t="n">
        <v>7958816.609999999</v>
      </c>
      <c r="G139" t="n">
        <v>15</v>
      </c>
      <c r="H139" s="12" t="n">
        <v>75</v>
      </c>
      <c r="I139" s="11" t="n">
        <v>9353436</v>
      </c>
      <c r="J139" s="11" t="n">
        <v>4512431.390000001</v>
      </c>
      <c r="K139" s="12" t="n">
        <v>63.81732293351876</v>
      </c>
      <c r="L139" s="11" t="n">
        <v>-1394619.390000001</v>
      </c>
      <c r="M139" s="12" t="n">
        <v>-11.18267706648124</v>
      </c>
      <c r="N139" s="11" t="n">
        <v>10611755.48</v>
      </c>
      <c r="O139" s="11" t="n">
        <v>-1859492.520000001</v>
      </c>
      <c r="P139" t="inlineStr">
        <is>
          <t>Below pace</t>
        </is>
      </c>
      <c r="Q139" s="11" t="n">
        <v>1394619.390000001</v>
      </c>
    </row>
    <row r="140">
      <c r="A140" t="inlineStr">
        <is>
          <t>Public Works</t>
        </is>
      </c>
      <c r="B140" t="inlineStr">
        <is>
          <t>Capital Projects Management Fund</t>
        </is>
      </c>
      <c r="C140" t="inlineStr">
        <is>
          <t>Business Enterprises</t>
        </is>
      </c>
      <c r="D140" t="inlineStr">
        <is>
          <t>Contractual services</t>
        </is>
      </c>
      <c r="E140" s="11" t="n">
        <v>2096199</v>
      </c>
      <c r="F140" s="11" t="n">
        <v>178874.74</v>
      </c>
      <c r="G140" t="n">
        <v>23</v>
      </c>
      <c r="H140" s="12" t="n">
        <v>75</v>
      </c>
      <c r="I140" s="11" t="n">
        <v>1572149.25</v>
      </c>
      <c r="J140" s="11" t="n">
        <v>1917324.26</v>
      </c>
      <c r="K140" s="12" t="n">
        <v>8.533290016835233</v>
      </c>
      <c r="L140" s="11" t="n">
        <v>-1393274.51</v>
      </c>
      <c r="M140" s="12" t="n">
        <v>-66.46670998316476</v>
      </c>
      <c r="N140" s="11" t="n">
        <v>238499.6533333333</v>
      </c>
      <c r="O140" s="11" t="n">
        <v>-1857699.346666667</v>
      </c>
      <c r="P140" t="inlineStr">
        <is>
          <t>Below pace</t>
        </is>
      </c>
      <c r="Q140" s="11" t="n">
        <v>1393274.51</v>
      </c>
    </row>
    <row r="141">
      <c r="A141" t="inlineStr">
        <is>
          <t>Austin Resource Recovery</t>
        </is>
      </c>
      <c r="B141" t="inlineStr">
        <is>
          <t>Austin Resource Recovery Fund</t>
        </is>
      </c>
      <c r="C141" t="inlineStr">
        <is>
          <t>Transfers, Debt Service, and Other Requirements</t>
        </is>
      </c>
      <c r="D141" t="inlineStr">
        <is>
          <t>Transfers &amp; debt service</t>
        </is>
      </c>
      <c r="E141" s="11" t="n">
        <v>19838935</v>
      </c>
      <c r="F141" s="11" t="n">
        <v>16241722.78</v>
      </c>
      <c r="G141" t="n">
        <v>7</v>
      </c>
      <c r="H141" s="12" t="n">
        <v>75</v>
      </c>
      <c r="I141" s="11" t="n">
        <v>14879201.25</v>
      </c>
      <c r="J141" s="11" t="n">
        <v>3597212.220000001</v>
      </c>
      <c r="K141" s="12" t="n">
        <v>81.86791670016561</v>
      </c>
      <c r="L141" s="11" t="n">
        <v>1362521.529999999</v>
      </c>
      <c r="M141" s="12" t="n">
        <v>6.867916700165608</v>
      </c>
      <c r="N141" s="11" t="n">
        <v>21655630.37333333</v>
      </c>
      <c r="O141" s="11" t="n">
        <v>1816695.373333331</v>
      </c>
      <c r="P141" t="inlineStr">
        <is>
          <t>Above pace</t>
        </is>
      </c>
      <c r="Q141" s="11" t="n">
        <v>1362521.529999999</v>
      </c>
    </row>
    <row r="142">
      <c r="A142" t="inlineStr">
        <is>
          <t>Human Resources</t>
        </is>
      </c>
      <c r="B142" t="inlineStr">
        <is>
          <t>Workers' Compensation Fund</t>
        </is>
      </c>
      <c r="C142" t="inlineStr">
        <is>
          <t>Medical Expenses and Claims Reserve</t>
        </is>
      </c>
      <c r="D142" t="inlineStr">
        <is>
          <t>Contractual services</t>
        </is>
      </c>
      <c r="E142" s="11" t="n">
        <v>7983691</v>
      </c>
      <c r="F142" s="11" t="n">
        <v>4651178.33</v>
      </c>
      <c r="G142" t="n">
        <v>5</v>
      </c>
      <c r="H142" s="12" t="n">
        <v>75</v>
      </c>
      <c r="I142" s="11" t="n">
        <v>5987768.25</v>
      </c>
      <c r="J142" s="11" t="n">
        <v>3332512.67</v>
      </c>
      <c r="K142" s="12" t="n">
        <v>58.25849635212585</v>
      </c>
      <c r="L142" s="11" t="n">
        <v>-1336589.92</v>
      </c>
      <c r="M142" s="12" t="n">
        <v>-16.74150364787415</v>
      </c>
      <c r="N142" s="11" t="n">
        <v>6201571.106666666</v>
      </c>
      <c r="O142" s="11" t="n">
        <v>-1782119.893333334</v>
      </c>
      <c r="P142" t="inlineStr">
        <is>
          <t>Below pace</t>
        </is>
      </c>
      <c r="Q142" s="11" t="n">
        <v>1336589.92</v>
      </c>
    </row>
    <row r="143">
      <c r="A143" t="inlineStr">
        <is>
          <t>Austin Water</t>
        </is>
      </c>
      <c r="B143" t="inlineStr">
        <is>
          <t>Austin Water Wastewater Utility Operating Fund</t>
        </is>
      </c>
      <c r="C143" t="inlineStr">
        <is>
          <t>Other Utility Program Requirements</t>
        </is>
      </c>
      <c r="D143" t="inlineStr">
        <is>
          <t>Other operating costs</t>
        </is>
      </c>
      <c r="E143" s="11" t="n">
        <v>3380917</v>
      </c>
      <c r="F143" s="11" t="n">
        <v>1213850.58</v>
      </c>
      <c r="G143" t="n">
        <v>29</v>
      </c>
      <c r="H143" s="12" t="n">
        <v>75</v>
      </c>
      <c r="I143" s="11" t="n">
        <v>2535687.75</v>
      </c>
      <c r="J143" s="11" t="n">
        <v>2167066.42</v>
      </c>
      <c r="K143" s="12" t="n">
        <v>35.90299850602662</v>
      </c>
      <c r="L143" s="11" t="n">
        <v>-1321837.17</v>
      </c>
      <c r="M143" s="12" t="n">
        <v>-39.09700149397338</v>
      </c>
      <c r="N143" s="11" t="n">
        <v>1618467.44</v>
      </c>
      <c r="O143" s="11" t="n">
        <v>-1762449.56</v>
      </c>
      <c r="P143" t="inlineStr">
        <is>
          <t>Below pace</t>
        </is>
      </c>
      <c r="Q143" s="11" t="n">
        <v>1321837.17</v>
      </c>
    </row>
    <row r="144">
      <c r="A144" t="inlineStr">
        <is>
          <t>Austin Energy</t>
        </is>
      </c>
      <c r="B144" t="inlineStr">
        <is>
          <t>Austin Energy Fund</t>
        </is>
      </c>
      <c r="C144" t="inlineStr">
        <is>
          <t>Support Services</t>
        </is>
      </c>
      <c r="D144" t="inlineStr">
        <is>
          <t>Supplies, technology &amp; equipment</t>
        </is>
      </c>
      <c r="E144" s="11" t="n">
        <v>25165525</v>
      </c>
      <c r="F144" s="11" t="n">
        <v>17579803.57</v>
      </c>
      <c r="G144" t="n">
        <v>202</v>
      </c>
      <c r="H144" s="12" t="n">
        <v>75</v>
      </c>
      <c r="I144" s="11" t="n">
        <v>18874143.75</v>
      </c>
      <c r="J144" s="11" t="n">
        <v>7585721.43</v>
      </c>
      <c r="K144" s="12" t="n">
        <v>69.85669311488634</v>
      </c>
      <c r="L144" s="11" t="n">
        <v>-1294340.18</v>
      </c>
      <c r="M144" s="12" t="n">
        <v>-5.14330688511366</v>
      </c>
      <c r="N144" s="11" t="n">
        <v>23439738.09333333</v>
      </c>
      <c r="O144" s="11" t="n">
        <v>-1725786.906666667</v>
      </c>
      <c r="P144" t="inlineStr">
        <is>
          <t>Below pace</t>
        </is>
      </c>
      <c r="Q144" s="11" t="n">
        <v>1294340.18</v>
      </c>
    </row>
    <row r="145">
      <c r="A145" t="inlineStr">
        <is>
          <t>Building Services</t>
        </is>
      </c>
      <c r="B145" t="inlineStr">
        <is>
          <t>Facilities Management Fund</t>
        </is>
      </c>
      <c r="C145" t="inlineStr">
        <is>
          <t>Facility and Project Management</t>
        </is>
      </c>
      <c r="D145" t="inlineStr">
        <is>
          <t>Other operating costs</t>
        </is>
      </c>
      <c r="E145" s="11" t="n">
        <v>6084928</v>
      </c>
      <c r="F145" s="11" t="n">
        <v>3281301.82</v>
      </c>
      <c r="G145" t="n">
        <v>295</v>
      </c>
      <c r="H145" s="12" t="n">
        <v>75</v>
      </c>
      <c r="I145" s="11" t="n">
        <v>4563696</v>
      </c>
      <c r="J145" s="11" t="n">
        <v>2803626.18</v>
      </c>
      <c r="K145" s="12" t="n">
        <v>53.92507224407586</v>
      </c>
      <c r="L145" s="11" t="n">
        <v>-1282394.18</v>
      </c>
      <c r="M145" s="12" t="n">
        <v>-21.07492775592414</v>
      </c>
      <c r="N145" s="11" t="n">
        <v>4375069.093333333</v>
      </c>
      <c r="O145" s="11" t="n">
        <v>-1709858.906666667</v>
      </c>
      <c r="P145" t="inlineStr">
        <is>
          <t>Below pace</t>
        </is>
      </c>
      <c r="Q145" s="11" t="n">
        <v>1282394.18</v>
      </c>
    </row>
    <row r="146">
      <c r="A146" t="inlineStr">
        <is>
          <t>Communications &amp; Technology Management</t>
        </is>
      </c>
      <c r="B146" t="inlineStr">
        <is>
          <t>Information and Technology Fund</t>
        </is>
      </c>
      <c r="C146" t="inlineStr">
        <is>
          <t>Enterprise Operations &amp; Technology</t>
        </is>
      </c>
      <c r="D146" t="inlineStr">
        <is>
          <t>Personnel &amp; benefits</t>
        </is>
      </c>
      <c r="E146" s="11" t="n">
        <v>16180453</v>
      </c>
      <c r="F146" s="11" t="n">
        <v>13417520.69</v>
      </c>
      <c r="G146" t="n">
        <v>134</v>
      </c>
      <c r="H146" s="12" t="n">
        <v>75</v>
      </c>
      <c r="I146" s="11" t="n">
        <v>12135339.75</v>
      </c>
      <c r="J146" s="11" t="n">
        <v>2762932.310000001</v>
      </c>
      <c r="K146" s="12" t="n">
        <v>82.92425861006487</v>
      </c>
      <c r="L146" s="11" t="n">
        <v>1282180.94</v>
      </c>
      <c r="M146" s="12" t="n">
        <v>7.924258610064868</v>
      </c>
      <c r="N146" s="11" t="n">
        <v>17890027.58666667</v>
      </c>
      <c r="O146" s="11" t="n">
        <v>1709574.586666666</v>
      </c>
      <c r="P146" t="inlineStr">
        <is>
          <t>Above pace</t>
        </is>
      </c>
      <c r="Q146" s="11" t="n">
        <v>1282180.94</v>
      </c>
    </row>
    <row r="147">
      <c r="A147" t="inlineStr">
        <is>
          <t>Development Services</t>
        </is>
      </c>
      <c r="B147" t="inlineStr">
        <is>
          <t>Austin Code Fund</t>
        </is>
      </c>
      <c r="C147" t="inlineStr">
        <is>
          <t>Support Services</t>
        </is>
      </c>
      <c r="D147" t="inlineStr">
        <is>
          <t>Personnel &amp; benefits</t>
        </is>
      </c>
      <c r="E147" s="11" t="n">
        <v>5596509</v>
      </c>
      <c r="F147" s="11" t="n">
        <v>5477617.13</v>
      </c>
      <c r="G147" t="n">
        <v>125</v>
      </c>
      <c r="H147" s="12" t="n">
        <v>75</v>
      </c>
      <c r="I147" s="11" t="n">
        <v>4197381.75</v>
      </c>
      <c r="J147" s="11" t="n">
        <v>118891.8700000001</v>
      </c>
      <c r="K147" s="12" t="n">
        <v>97.8756065611616</v>
      </c>
      <c r="L147" s="11" t="n">
        <v>1280235.38</v>
      </c>
      <c r="M147" s="12" t="n">
        <v>22.8756065611616</v>
      </c>
      <c r="N147" s="11" t="n">
        <v>7303489.506666667</v>
      </c>
      <c r="O147" s="11" t="n">
        <v>1706980.506666667</v>
      </c>
      <c r="P147" t="inlineStr">
        <is>
          <t>Above pace</t>
        </is>
      </c>
      <c r="Q147" s="11" t="n">
        <v>1280235.38</v>
      </c>
    </row>
    <row r="148">
      <c r="A148" t="inlineStr">
        <is>
          <t>Public Works</t>
        </is>
      </c>
      <c r="B148" t="inlineStr">
        <is>
          <t>Capital Projects Management Fund</t>
        </is>
      </c>
      <c r="C148" t="inlineStr">
        <is>
          <t>Capital Project Delivery Services</t>
        </is>
      </c>
      <c r="D148" t="inlineStr">
        <is>
          <t>Personnel &amp; benefits</t>
        </is>
      </c>
      <c r="E148" s="11" t="n">
        <v>23652021</v>
      </c>
      <c r="F148" s="11" t="n">
        <v>16488502.07</v>
      </c>
      <c r="G148" t="n">
        <v>59</v>
      </c>
      <c r="H148" s="12" t="n">
        <v>75</v>
      </c>
      <c r="I148" s="11" t="n">
        <v>17739015.75</v>
      </c>
      <c r="J148" s="11" t="n">
        <v>7163518.93</v>
      </c>
      <c r="K148" s="12" t="n">
        <v>69.71286753888812</v>
      </c>
      <c r="L148" s="11" t="n">
        <v>-1250513.68</v>
      </c>
      <c r="M148" s="12" t="n">
        <v>-5.287132461111881</v>
      </c>
      <c r="N148" s="11" t="n">
        <v>21984669.42666667</v>
      </c>
      <c r="O148" s="11" t="n">
        <v>-1667351.573333334</v>
      </c>
      <c r="P148" t="inlineStr">
        <is>
          <t>Below pace</t>
        </is>
      </c>
      <c r="Q148" s="11" t="n">
        <v>1250513.68</v>
      </c>
    </row>
    <row r="149">
      <c r="A149" t="inlineStr">
        <is>
          <t>Austin Water</t>
        </is>
      </c>
      <c r="B149" t="inlineStr">
        <is>
          <t>Austin Water Water Utility Operating Fund</t>
        </is>
      </c>
      <c r="C149" t="inlineStr">
        <is>
          <t>Environmental, Planning, and Development Services</t>
        </is>
      </c>
      <c r="D149" t="inlineStr">
        <is>
          <t>Contractual services</t>
        </is>
      </c>
      <c r="E149" s="11" t="n">
        <v>4049446</v>
      </c>
      <c r="F149" s="11" t="n">
        <v>1801118.86</v>
      </c>
      <c r="G149" t="n">
        <v>26</v>
      </c>
      <c r="H149" s="12" t="n">
        <v>75</v>
      </c>
      <c r="I149" s="11" t="n">
        <v>3037084.5</v>
      </c>
      <c r="J149" s="11" t="n">
        <v>2248327.14</v>
      </c>
      <c r="K149" s="12" t="n">
        <v>44.47815478956875</v>
      </c>
      <c r="L149" s="11" t="n">
        <v>-1235965.64</v>
      </c>
      <c r="M149" s="12" t="n">
        <v>-30.52184521043125</v>
      </c>
      <c r="N149" s="11" t="n">
        <v>2401491.813333333</v>
      </c>
      <c r="O149" s="11" t="n">
        <v>-1647954.186666666</v>
      </c>
      <c r="P149" t="inlineStr">
        <is>
          <t>Below pace</t>
        </is>
      </c>
      <c r="Q149" s="11" t="n">
        <v>1235965.64</v>
      </c>
    </row>
    <row r="150">
      <c r="A150" t="inlineStr">
        <is>
          <t>Aviation</t>
        </is>
      </c>
      <c r="B150" t="inlineStr">
        <is>
          <t>Airport Operating Fund</t>
        </is>
      </c>
      <c r="C150" t="inlineStr">
        <is>
          <t>Facilities Management, Operations and Airport Security</t>
        </is>
      </c>
      <c r="D150" t="inlineStr">
        <is>
          <t>Personnel &amp; benefits</t>
        </is>
      </c>
      <c r="E150" s="11" t="n">
        <v>48792986</v>
      </c>
      <c r="F150" s="11" t="n">
        <v>37805615.94</v>
      </c>
      <c r="G150" t="n">
        <v>203</v>
      </c>
      <c r="H150" s="12" t="n">
        <v>75</v>
      </c>
      <c r="I150" s="11" t="n">
        <v>36594739.5</v>
      </c>
      <c r="J150" s="11" t="n">
        <v>10987370.06</v>
      </c>
      <c r="K150" s="12" t="n">
        <v>77.48166086822397</v>
      </c>
      <c r="L150" s="11" t="n">
        <v>1210876.439999998</v>
      </c>
      <c r="M150" s="12" t="n">
        <v>2.481660868223969</v>
      </c>
      <c r="N150" s="11" t="n">
        <v>50407487.92</v>
      </c>
      <c r="O150" s="11" t="n">
        <v>1614501.919999994</v>
      </c>
      <c r="P150" t="inlineStr">
        <is>
          <t>Near pace</t>
        </is>
      </c>
      <c r="Q150" s="11" t="n">
        <v>1210876.439999998</v>
      </c>
    </row>
    <row r="151">
      <c r="A151" t="inlineStr">
        <is>
          <t>Fleet Services</t>
        </is>
      </c>
      <c r="B151" t="inlineStr">
        <is>
          <t>Fleet Services Fund</t>
        </is>
      </c>
      <c r="C151" t="inlineStr">
        <is>
          <t>Support Services</t>
        </is>
      </c>
      <c r="D151" t="inlineStr">
        <is>
          <t>Personnel &amp; benefits</t>
        </is>
      </c>
      <c r="E151" s="11" t="n">
        <v>5254857</v>
      </c>
      <c r="F151" s="11" t="n">
        <v>2736564.2</v>
      </c>
      <c r="G151" t="n">
        <v>36</v>
      </c>
      <c r="H151" s="12" t="n">
        <v>75</v>
      </c>
      <c r="I151" s="11" t="n">
        <v>3941142.75</v>
      </c>
      <c r="J151" s="11" t="n">
        <v>2518292.8</v>
      </c>
      <c r="K151" s="12" t="n">
        <v>52.07685385158912</v>
      </c>
      <c r="L151" s="11" t="n">
        <v>-1204578.55</v>
      </c>
      <c r="M151" s="12" t="n">
        <v>-22.92314614841089</v>
      </c>
      <c r="N151" s="11" t="n">
        <v>3648752.266666667</v>
      </c>
      <c r="O151" s="11" t="n">
        <v>-1606104.733333333</v>
      </c>
      <c r="P151" t="inlineStr">
        <is>
          <t>Below pace</t>
        </is>
      </c>
      <c r="Q151" s="11" t="n">
        <v>1204578.55</v>
      </c>
    </row>
    <row r="152">
      <c r="A152" t="inlineStr">
        <is>
          <t>Police</t>
        </is>
      </c>
      <c r="B152" t="inlineStr">
        <is>
          <t>General Fund</t>
        </is>
      </c>
      <c r="C152" t="inlineStr">
        <is>
          <t>Support Services</t>
        </is>
      </c>
      <c r="D152" t="inlineStr">
        <is>
          <t>Personnel &amp; benefits</t>
        </is>
      </c>
      <c r="E152" s="11" t="n">
        <v>8481346</v>
      </c>
      <c r="F152" s="11" t="n">
        <v>7559437.27</v>
      </c>
      <c r="G152" t="n">
        <v>124</v>
      </c>
      <c r="H152" s="12" t="n">
        <v>75</v>
      </c>
      <c r="I152" s="11" t="n">
        <v>6361009.5</v>
      </c>
      <c r="J152" s="11" t="n">
        <v>921908.7299999996</v>
      </c>
      <c r="K152" s="12" t="n">
        <v>89.13016011845289</v>
      </c>
      <c r="L152" s="11" t="n">
        <v>1198427.77</v>
      </c>
      <c r="M152" s="12" t="n">
        <v>14.13016011845289</v>
      </c>
      <c r="N152" s="11" t="n">
        <v>10079249.69333333</v>
      </c>
      <c r="O152" s="11" t="n">
        <v>1597903.693333333</v>
      </c>
      <c r="P152" t="inlineStr">
        <is>
          <t>Above pace</t>
        </is>
      </c>
      <c r="Q152" s="11" t="n">
        <v>1198427.77</v>
      </c>
    </row>
    <row r="153">
      <c r="A153" t="inlineStr">
        <is>
          <t>Development Services</t>
        </is>
      </c>
      <c r="B153" t="inlineStr">
        <is>
          <t>Austin Code Fund</t>
        </is>
      </c>
      <c r="C153" t="inlineStr">
        <is>
          <t>Support Services</t>
        </is>
      </c>
      <c r="D153" t="inlineStr">
        <is>
          <t>Other operating costs</t>
        </is>
      </c>
      <c r="E153" s="11" t="n">
        <v>2319474</v>
      </c>
      <c r="F153" s="11" t="n">
        <v>548398.46</v>
      </c>
      <c r="G153" t="n">
        <v>215</v>
      </c>
      <c r="H153" s="12" t="n">
        <v>75</v>
      </c>
      <c r="I153" s="11" t="n">
        <v>1739605.5</v>
      </c>
      <c r="J153" s="11" t="n">
        <v>1771075.54</v>
      </c>
      <c r="K153" s="12" t="n">
        <v>23.64322514501132</v>
      </c>
      <c r="L153" s="11" t="n">
        <v>-1191207.04</v>
      </c>
      <c r="M153" s="12" t="n">
        <v>-51.35677485498867</v>
      </c>
      <c r="N153" s="11" t="n">
        <v>731197.9466666667</v>
      </c>
      <c r="O153" s="11" t="n">
        <v>-1588276.053333333</v>
      </c>
      <c r="P153" t="inlineStr">
        <is>
          <t>Below pace</t>
        </is>
      </c>
      <c r="Q153" s="11" t="n">
        <v>1191207.04</v>
      </c>
    </row>
    <row r="154">
      <c r="A154" t="inlineStr">
        <is>
          <t>Aviation</t>
        </is>
      </c>
      <c r="B154" t="inlineStr">
        <is>
          <t>Airport Operating Fund</t>
        </is>
      </c>
      <c r="C154" t="inlineStr">
        <is>
          <t>Support Services</t>
        </is>
      </c>
      <c r="D154" t="inlineStr">
        <is>
          <t>Supplies, technology &amp; equipment</t>
        </is>
      </c>
      <c r="E154" s="11" t="n">
        <v>6096039</v>
      </c>
      <c r="F154" s="11" t="n">
        <v>3391090.63</v>
      </c>
      <c r="G154" t="n">
        <v>76</v>
      </c>
      <c r="H154" s="12" t="n">
        <v>75</v>
      </c>
      <c r="I154" s="11" t="n">
        <v>4572029.25</v>
      </c>
      <c r="J154" s="11" t="n">
        <v>2704948.37</v>
      </c>
      <c r="K154" s="12" t="n">
        <v>55.62777124621414</v>
      </c>
      <c r="L154" s="11" t="n">
        <v>-1180938.62</v>
      </c>
      <c r="M154" s="12" t="n">
        <v>-19.37222875378587</v>
      </c>
      <c r="N154" s="11" t="n">
        <v>4521454.173333333</v>
      </c>
      <c r="O154" s="11" t="n">
        <v>-1574584.826666667</v>
      </c>
      <c r="P154" t="inlineStr">
        <is>
          <t>Below pace</t>
        </is>
      </c>
      <c r="Q154" s="11" t="n">
        <v>1180938.62</v>
      </c>
    </row>
    <row r="155">
      <c r="A155" t="inlineStr">
        <is>
          <t>Public Works</t>
        </is>
      </c>
      <c r="B155" t="inlineStr">
        <is>
          <t>Transportation Fund</t>
        </is>
      </c>
      <c r="C155" t="inlineStr">
        <is>
          <t>One Stop Shop</t>
        </is>
      </c>
      <c r="D155" t="inlineStr">
        <is>
          <t>Contractual services</t>
        </is>
      </c>
      <c r="E155" s="11" t="n">
        <v>2681105</v>
      </c>
      <c r="F155" s="11" t="n">
        <v>839352.5799999998</v>
      </c>
      <c r="G155" t="n">
        <v>22</v>
      </c>
      <c r="H155" s="12" t="n">
        <v>75</v>
      </c>
      <c r="I155" s="11" t="n">
        <v>2010828.75</v>
      </c>
      <c r="J155" s="11" t="n">
        <v>1841752.42</v>
      </c>
      <c r="K155" s="12" t="n">
        <v>31.30621814513045</v>
      </c>
      <c r="L155" s="11" t="n">
        <v>-1171476.17</v>
      </c>
      <c r="M155" s="12" t="n">
        <v>-43.69378185486954</v>
      </c>
      <c r="N155" s="11" t="n">
        <v>1119136.773333333</v>
      </c>
      <c r="O155" s="11" t="n">
        <v>-1561968.226666667</v>
      </c>
      <c r="P155" t="inlineStr">
        <is>
          <t>Below pace</t>
        </is>
      </c>
      <c r="Q155" s="11" t="n">
        <v>1171476.17</v>
      </c>
    </row>
    <row r="156">
      <c r="A156" t="inlineStr">
        <is>
          <t>Mayor &amp; Council</t>
        </is>
      </c>
      <c r="B156" t="inlineStr">
        <is>
          <t>Support Services Fund</t>
        </is>
      </c>
      <c r="C156" t="inlineStr">
        <is>
          <t>Mayor and City Council Offices</t>
        </is>
      </c>
      <c r="D156" t="inlineStr">
        <is>
          <t>Other operating costs</t>
        </is>
      </c>
      <c r="E156" s="11" t="n">
        <v>3704880</v>
      </c>
      <c r="F156" s="11" t="n">
        <v>1613555</v>
      </c>
      <c r="G156" t="n">
        <v>255</v>
      </c>
      <c r="H156" s="12" t="n">
        <v>75</v>
      </c>
      <c r="I156" s="11" t="n">
        <v>2778660</v>
      </c>
      <c r="J156" s="11" t="n">
        <v>2091325</v>
      </c>
      <c r="K156" s="12" t="n">
        <v>43.5521528362592</v>
      </c>
      <c r="L156" s="11" t="n">
        <v>-1165105</v>
      </c>
      <c r="M156" s="12" t="n">
        <v>-31.4478471637408</v>
      </c>
      <c r="N156" s="11" t="n">
        <v>2151406.666666667</v>
      </c>
      <c r="O156" s="11" t="n">
        <v>-1553473.333333333</v>
      </c>
      <c r="P156" t="inlineStr">
        <is>
          <t>Below pace</t>
        </is>
      </c>
      <c r="Q156" s="11" t="n">
        <v>1165105</v>
      </c>
    </row>
    <row r="157">
      <c r="A157" t="inlineStr">
        <is>
          <t>Financial Services</t>
        </is>
      </c>
      <c r="B157" t="inlineStr">
        <is>
          <t>Mueller Tax Increment Financing Fund</t>
        </is>
      </c>
      <c r="C157" t="inlineStr">
        <is>
          <t>Transfers, Debt Service, and Other Requirements</t>
        </is>
      </c>
      <c r="D157" t="inlineStr">
        <is>
          <t>Transfers &amp; debt service</t>
        </is>
      </c>
      <c r="E157" s="11" t="n">
        <v>13896782</v>
      </c>
      <c r="F157" s="11" t="n">
        <v>11580651.7</v>
      </c>
      <c r="G157" t="n">
        <v>1</v>
      </c>
      <c r="H157" s="12" t="n">
        <v>75</v>
      </c>
      <c r="I157" s="11" t="n">
        <v>10422586.5</v>
      </c>
      <c r="J157" s="11" t="n">
        <v>2316130.300000001</v>
      </c>
      <c r="K157" s="12" t="n">
        <v>83.33333357319702</v>
      </c>
      <c r="L157" s="11" t="n">
        <v>1158065.199999999</v>
      </c>
      <c r="M157" s="12" t="n">
        <v>8.333333573197024</v>
      </c>
      <c r="N157" s="11" t="n">
        <v>15440868.93333333</v>
      </c>
      <c r="O157" s="11" t="n">
        <v>1544086.933333331</v>
      </c>
      <c r="P157" t="inlineStr">
        <is>
          <t>Above pace</t>
        </is>
      </c>
      <c r="Q157" s="11" t="n">
        <v>1158065.199999999</v>
      </c>
    </row>
    <row r="158">
      <c r="A158" t="inlineStr">
        <is>
          <t>Austin Energy</t>
        </is>
      </c>
      <c r="B158" t="inlineStr">
        <is>
          <t>Austin Energy Fund</t>
        </is>
      </c>
      <c r="C158" t="inlineStr">
        <is>
          <t>Power Generation, Market Operations &amp; Resource Planning</t>
        </is>
      </c>
      <c r="D158" t="inlineStr">
        <is>
          <t>Supplies, technology &amp; equipment</t>
        </is>
      </c>
      <c r="E158" s="11" t="n">
        <v>4983961</v>
      </c>
      <c r="F158" s="11" t="n">
        <v>2584524.07</v>
      </c>
      <c r="G158" t="n">
        <v>132</v>
      </c>
      <c r="H158" s="12" t="n">
        <v>75</v>
      </c>
      <c r="I158" s="11" t="n">
        <v>3737970.75</v>
      </c>
      <c r="J158" s="11" t="n">
        <v>2399436.93</v>
      </c>
      <c r="K158" s="12" t="n">
        <v>51.8568277319987</v>
      </c>
      <c r="L158" s="11" t="n">
        <v>-1153446.68</v>
      </c>
      <c r="M158" s="12" t="n">
        <v>-23.1431722680013</v>
      </c>
      <c r="N158" s="11" t="n">
        <v>3446032.093333333</v>
      </c>
      <c r="O158" s="11" t="n">
        <v>-1537928.906666667</v>
      </c>
      <c r="P158" t="inlineStr">
        <is>
          <t>Below pace</t>
        </is>
      </c>
      <c r="Q158" s="11" t="n">
        <v>1153446.68</v>
      </c>
    </row>
    <row r="159">
      <c r="A159" t="inlineStr">
        <is>
          <t>Fire</t>
        </is>
      </c>
      <c r="B159" t="inlineStr">
        <is>
          <t>General Fund</t>
        </is>
      </c>
      <c r="C159" t="inlineStr">
        <is>
          <t>Emergency Prevention</t>
        </is>
      </c>
      <c r="D159" t="inlineStr">
        <is>
          <t>Other operating costs</t>
        </is>
      </c>
      <c r="E159" s="11" t="n">
        <v>1490984</v>
      </c>
      <c r="F159" s="11" t="n">
        <v>2246932.94</v>
      </c>
      <c r="G159" t="n">
        <v>121</v>
      </c>
      <c r="H159" s="12" t="n">
        <v>75</v>
      </c>
      <c r="I159" s="11" t="n">
        <v>1118238</v>
      </c>
      <c r="J159" s="11" t="n">
        <v>-755948.9399999999</v>
      </c>
      <c r="K159" s="12" t="n">
        <v>150.7013448836473</v>
      </c>
      <c r="L159" s="11" t="n">
        <v>1128694.94</v>
      </c>
      <c r="M159" s="12" t="n">
        <v>75.70134488364732</v>
      </c>
      <c r="N159" s="11" t="n">
        <v>2995910.586666666</v>
      </c>
      <c r="O159" s="11" t="n">
        <v>1504926.586666666</v>
      </c>
      <c r="P159" t="inlineStr">
        <is>
          <t>Above pace</t>
        </is>
      </c>
      <c r="Q159" s="11" t="n">
        <v>1128694.94</v>
      </c>
    </row>
    <row r="160">
      <c r="A160" t="inlineStr">
        <is>
          <t>Office of Arts, Culture, Music and Entertainment</t>
        </is>
      </c>
      <c r="B160" t="inlineStr">
        <is>
          <t>General Fund</t>
        </is>
      </c>
      <c r="C160" t="inlineStr">
        <is>
          <t>Cultural Education and Heritage Preservation</t>
        </is>
      </c>
      <c r="D160" t="inlineStr">
        <is>
          <t>Personnel &amp; benefits</t>
        </is>
      </c>
      <c r="E160" s="11" t="n">
        <v>6196166</v>
      </c>
      <c r="F160" s="11" t="n">
        <v>5775315.85</v>
      </c>
      <c r="G160" t="n">
        <v>159</v>
      </c>
      <c r="H160" s="12" t="n">
        <v>75</v>
      </c>
      <c r="I160" s="11" t="n">
        <v>4647124.5</v>
      </c>
      <c r="J160" s="11" t="n">
        <v>420850.1500000004</v>
      </c>
      <c r="K160" s="12" t="n">
        <v>93.2078942042547</v>
      </c>
      <c r="L160" s="11" t="n">
        <v>1128191.35</v>
      </c>
      <c r="M160" s="12" t="n">
        <v>18.2078942042547</v>
      </c>
      <c r="N160" s="11" t="n">
        <v>7700421.133333333</v>
      </c>
      <c r="O160" s="11" t="n">
        <v>1504255.133333333</v>
      </c>
      <c r="P160" t="inlineStr">
        <is>
          <t>Above pace</t>
        </is>
      </c>
      <c r="Q160" s="11" t="n">
        <v>1128191.35</v>
      </c>
    </row>
    <row r="161">
      <c r="A161" t="inlineStr">
        <is>
          <t>Fire</t>
        </is>
      </c>
      <c r="B161" t="inlineStr">
        <is>
          <t>General Fund</t>
        </is>
      </c>
      <c r="C161" t="inlineStr">
        <is>
          <t>Operations Support</t>
        </is>
      </c>
      <c r="D161" t="inlineStr">
        <is>
          <t>Other operating costs</t>
        </is>
      </c>
      <c r="E161" s="11" t="n">
        <v>1787382</v>
      </c>
      <c r="F161" s="11" t="n">
        <v>2467571.12</v>
      </c>
      <c r="G161" t="n">
        <v>399</v>
      </c>
      <c r="H161" s="12" t="n">
        <v>75</v>
      </c>
      <c r="I161" s="11" t="n">
        <v>1340536.5</v>
      </c>
      <c r="J161" s="11" t="n">
        <v>-680189.1200000001</v>
      </c>
      <c r="K161" s="12" t="n">
        <v>138.0550503473796</v>
      </c>
      <c r="L161" s="11" t="n">
        <v>1127034.62</v>
      </c>
      <c r="M161" s="12" t="n">
        <v>63.05505034737956</v>
      </c>
      <c r="N161" s="11" t="n">
        <v>3290094.826666667</v>
      </c>
      <c r="O161" s="11" t="n">
        <v>1502712.826666667</v>
      </c>
      <c r="P161" t="inlineStr">
        <is>
          <t>Above pace</t>
        </is>
      </c>
      <c r="Q161" s="11" t="n">
        <v>1127034.62</v>
      </c>
    </row>
    <row r="162">
      <c r="A162" t="inlineStr">
        <is>
          <t>Fire</t>
        </is>
      </c>
      <c r="B162" t="inlineStr">
        <is>
          <t>General Fund</t>
        </is>
      </c>
      <c r="C162" t="inlineStr">
        <is>
          <t>Transfers, Debt Service, and Other Requirements</t>
        </is>
      </c>
      <c r="D162" t="inlineStr">
        <is>
          <t>Other operating costs</t>
        </is>
      </c>
      <c r="E162" s="11" t="n">
        <v>16227489</v>
      </c>
      <c r="F162" s="11" t="n">
        <v>13290293.1</v>
      </c>
      <c r="G162" t="n">
        <v>9</v>
      </c>
      <c r="H162" s="12" t="n">
        <v>75</v>
      </c>
      <c r="I162" s="11" t="n">
        <v>12170616.75</v>
      </c>
      <c r="J162" s="11" t="n">
        <v>2937195.9</v>
      </c>
      <c r="K162" s="12" t="n">
        <v>81.89987434285119</v>
      </c>
      <c r="L162" s="11" t="n">
        <v>1119676.35</v>
      </c>
      <c r="M162" s="12" t="n">
        <v>6.899874342851192</v>
      </c>
      <c r="N162" s="11" t="n">
        <v>17720390.8</v>
      </c>
      <c r="O162" s="11" t="n">
        <v>1492901.800000001</v>
      </c>
      <c r="P162" t="inlineStr">
        <is>
          <t>Above pace</t>
        </is>
      </c>
      <c r="Q162" s="11" t="n">
        <v>1119676.35</v>
      </c>
    </row>
    <row r="163">
      <c r="A163" t="inlineStr">
        <is>
          <t>Emergency Medical Services</t>
        </is>
      </c>
      <c r="B163" t="inlineStr">
        <is>
          <t>General Fund</t>
        </is>
      </c>
      <c r="C163" t="inlineStr">
        <is>
          <t>Emergency Communications</t>
        </is>
      </c>
      <c r="D163" t="inlineStr">
        <is>
          <t>Personnel &amp; benefits</t>
        </is>
      </c>
      <c r="E163" s="11" t="n">
        <v>8009768</v>
      </c>
      <c r="F163" s="11" t="n">
        <v>4895534.83</v>
      </c>
      <c r="G163" t="n">
        <v>16</v>
      </c>
      <c r="H163" s="12" t="n">
        <v>75</v>
      </c>
      <c r="I163" s="11" t="n">
        <v>6007326</v>
      </c>
      <c r="J163" s="11" t="n">
        <v>3114233.17</v>
      </c>
      <c r="K163" s="12" t="n">
        <v>61.11955839420068</v>
      </c>
      <c r="L163" s="11" t="n">
        <v>-1111791.17</v>
      </c>
      <c r="M163" s="12" t="n">
        <v>-13.88044160579932</v>
      </c>
      <c r="N163" s="11" t="n">
        <v>6527379.773333333</v>
      </c>
      <c r="O163" s="11" t="n">
        <v>-1482388.226666667</v>
      </c>
      <c r="P163" t="inlineStr">
        <is>
          <t>Below pace</t>
        </is>
      </c>
      <c r="Q163" s="11" t="n">
        <v>1111791.17</v>
      </c>
    </row>
    <row r="164">
      <c r="A164" t="inlineStr">
        <is>
          <t>Watershed Protection</t>
        </is>
      </c>
      <c r="B164" t="inlineStr">
        <is>
          <t>Drainage Utility Fund</t>
        </is>
      </c>
      <c r="C164" t="inlineStr">
        <is>
          <t>Planning, Monitoring, &amp; Compliance</t>
        </is>
      </c>
      <c r="D164" t="inlineStr">
        <is>
          <t>Personnel &amp; benefits</t>
        </is>
      </c>
      <c r="E164" s="11" t="n">
        <v>12746946</v>
      </c>
      <c r="F164" s="11" t="n">
        <v>10666328.49</v>
      </c>
      <c r="G164" t="n">
        <v>131</v>
      </c>
      <c r="H164" s="12" t="n">
        <v>75</v>
      </c>
      <c r="I164" s="11" t="n">
        <v>9560209.5</v>
      </c>
      <c r="J164" s="11" t="n">
        <v>2080617.51</v>
      </c>
      <c r="K164" s="12" t="n">
        <v>83.67752158046328</v>
      </c>
      <c r="L164" s="11" t="n">
        <v>1106118.99</v>
      </c>
      <c r="M164" s="12" t="n">
        <v>8.677521580463278</v>
      </c>
      <c r="N164" s="11" t="n">
        <v>14221771.32</v>
      </c>
      <c r="O164" s="11" t="n">
        <v>1474825.32</v>
      </c>
      <c r="P164" t="inlineStr">
        <is>
          <t>Above pace</t>
        </is>
      </c>
      <c r="Q164" s="11" t="n">
        <v>1106118.99</v>
      </c>
    </row>
    <row r="165">
      <c r="A165" t="inlineStr">
        <is>
          <t>Austin Water</t>
        </is>
      </c>
      <c r="B165" t="inlineStr">
        <is>
          <t>Austin Water Water Utility Operating Fund</t>
        </is>
      </c>
      <c r="C165" t="inlineStr">
        <is>
          <t>Engineering and Technical Services</t>
        </is>
      </c>
      <c r="D165" t="inlineStr">
        <is>
          <t>Personnel &amp; benefits</t>
        </is>
      </c>
      <c r="E165" s="11" t="n">
        <v>9993759</v>
      </c>
      <c r="F165" s="11" t="n">
        <v>6390376.76</v>
      </c>
      <c r="G165" t="n">
        <v>79</v>
      </c>
      <c r="H165" s="12" t="n">
        <v>75</v>
      </c>
      <c r="I165" s="11" t="n">
        <v>7495319.25</v>
      </c>
      <c r="J165" s="11" t="n">
        <v>3603382.24</v>
      </c>
      <c r="K165" s="12" t="n">
        <v>63.94367484747231</v>
      </c>
      <c r="L165" s="11" t="n">
        <v>-1104942.49</v>
      </c>
      <c r="M165" s="12" t="n">
        <v>-11.05632515252769</v>
      </c>
      <c r="N165" s="11" t="n">
        <v>8520502.346666666</v>
      </c>
      <c r="O165" s="11" t="n">
        <v>-1473256.653333334</v>
      </c>
      <c r="P165" t="inlineStr">
        <is>
          <t>Below pace</t>
        </is>
      </c>
      <c r="Q165" s="11" t="n">
        <v>1104942.49</v>
      </c>
    </row>
    <row r="166">
      <c r="A166" t="inlineStr">
        <is>
          <t>Emergency Medical Services</t>
        </is>
      </c>
      <c r="B166" t="inlineStr">
        <is>
          <t>General Fund</t>
        </is>
      </c>
      <c r="C166" t="inlineStr">
        <is>
          <t>Transfers, Debt Service, and Other Requirements</t>
        </is>
      </c>
      <c r="D166" t="inlineStr">
        <is>
          <t>Other operating costs</t>
        </is>
      </c>
      <c r="E166" s="11" t="n">
        <v>11996258</v>
      </c>
      <c r="F166" s="11" t="n">
        <v>10096949.6</v>
      </c>
      <c r="G166" t="n">
        <v>10</v>
      </c>
      <c r="H166" s="12" t="n">
        <v>75</v>
      </c>
      <c r="I166" s="11" t="n">
        <v>8997193.5</v>
      </c>
      <c r="J166" s="11" t="n">
        <v>1899308.4</v>
      </c>
      <c r="K166" s="12" t="n">
        <v>84.16749289653491</v>
      </c>
      <c r="L166" s="11" t="n">
        <v>1099756.1</v>
      </c>
      <c r="M166" s="12" t="n">
        <v>9.16749289653491</v>
      </c>
      <c r="N166" s="11" t="n">
        <v>13462599.46666667</v>
      </c>
      <c r="O166" s="11" t="n">
        <v>1466341.466666667</v>
      </c>
      <c r="P166" t="inlineStr">
        <is>
          <t>Above pace</t>
        </is>
      </c>
      <c r="Q166" s="11" t="n">
        <v>1099756.1</v>
      </c>
    </row>
    <row r="167">
      <c r="A167" t="inlineStr">
        <is>
          <t>Austin Public Library</t>
        </is>
      </c>
      <c r="B167" t="inlineStr">
        <is>
          <t>General Fund</t>
        </is>
      </c>
      <c r="C167" t="inlineStr">
        <is>
          <t>Materials Management Services</t>
        </is>
      </c>
      <c r="D167" t="inlineStr">
        <is>
          <t>Other operating costs</t>
        </is>
      </c>
      <c r="E167" s="11" t="n">
        <v>3785460</v>
      </c>
      <c r="F167" s="11" t="n">
        <v>1742621.53</v>
      </c>
      <c r="G167" t="n">
        <v>28</v>
      </c>
      <c r="H167" s="12" t="n">
        <v>75</v>
      </c>
      <c r="I167" s="11" t="n">
        <v>2839095</v>
      </c>
      <c r="J167" s="11" t="n">
        <v>2042838.47</v>
      </c>
      <c r="K167" s="12" t="n">
        <v>46.03460424888917</v>
      </c>
      <c r="L167" s="11" t="n">
        <v>-1096473.47</v>
      </c>
      <c r="M167" s="12" t="n">
        <v>-28.96539575111082</v>
      </c>
      <c r="N167" s="11" t="n">
        <v>2323495.373333333</v>
      </c>
      <c r="O167" s="11" t="n">
        <v>-1461964.626666666</v>
      </c>
      <c r="P167" t="inlineStr">
        <is>
          <t>Below pace</t>
        </is>
      </c>
      <c r="Q167" s="11" t="n">
        <v>1096473.47</v>
      </c>
    </row>
    <row r="168">
      <c r="A168" t="inlineStr">
        <is>
          <t>Watershed Protection</t>
        </is>
      </c>
      <c r="B168" t="inlineStr">
        <is>
          <t>Drainage Utility Fund</t>
        </is>
      </c>
      <c r="C168" t="inlineStr">
        <is>
          <t>Field Operations</t>
        </is>
      </c>
      <c r="D168" t="inlineStr">
        <is>
          <t>Contractual services</t>
        </is>
      </c>
      <c r="E168" s="11" t="n">
        <v>3649350</v>
      </c>
      <c r="F168" s="11" t="n">
        <v>1641520.78</v>
      </c>
      <c r="G168" t="n">
        <v>54</v>
      </c>
      <c r="H168" s="12" t="n">
        <v>75</v>
      </c>
      <c r="I168" s="11" t="n">
        <v>2737012.5</v>
      </c>
      <c r="J168" s="11" t="n">
        <v>2007829.22</v>
      </c>
      <c r="K168" s="12" t="n">
        <v>44.98118240234562</v>
      </c>
      <c r="L168" s="11" t="n">
        <v>-1095491.72</v>
      </c>
      <c r="M168" s="12" t="n">
        <v>-30.01881759765438</v>
      </c>
      <c r="N168" s="11" t="n">
        <v>2188694.373333333</v>
      </c>
      <c r="O168" s="11" t="n">
        <v>-1460655.626666666</v>
      </c>
      <c r="P168" t="inlineStr">
        <is>
          <t>Below pace</t>
        </is>
      </c>
      <c r="Q168" s="11" t="n">
        <v>1095491.72</v>
      </c>
    </row>
    <row r="169">
      <c r="A169" t="inlineStr">
        <is>
          <t>Austin Water</t>
        </is>
      </c>
      <c r="B169" t="inlineStr">
        <is>
          <t>Austin Water Water Utility Operating Fund</t>
        </is>
      </c>
      <c r="C169" t="inlineStr">
        <is>
          <t>Operations</t>
        </is>
      </c>
      <c r="D169" t="inlineStr">
        <is>
          <t>Contractual services</t>
        </is>
      </c>
      <c r="E169" s="11" t="n">
        <v>16091488</v>
      </c>
      <c r="F169" s="11" t="n">
        <v>13152516.48</v>
      </c>
      <c r="G169" t="n">
        <v>76</v>
      </c>
      <c r="H169" s="12" t="n">
        <v>75</v>
      </c>
      <c r="I169" s="11" t="n">
        <v>12068616</v>
      </c>
      <c r="J169" s="11" t="n">
        <v>2938971.520000001</v>
      </c>
      <c r="K169" s="12" t="n">
        <v>81.73586233914476</v>
      </c>
      <c r="L169" s="11" t="n">
        <v>1083900.479999999</v>
      </c>
      <c r="M169" s="12" t="n">
        <v>6.735862339144759</v>
      </c>
      <c r="N169" s="11" t="n">
        <v>17536688.64</v>
      </c>
      <c r="O169" s="11" t="n">
        <v>1445200.639999997</v>
      </c>
      <c r="P169" t="inlineStr">
        <is>
          <t>Above pace</t>
        </is>
      </c>
      <c r="Q169" s="11" t="n">
        <v>1083900.479999999</v>
      </c>
    </row>
    <row r="170">
      <c r="A170" t="inlineStr">
        <is>
          <t>Public Works</t>
        </is>
      </c>
      <c r="B170" t="inlineStr">
        <is>
          <t>Transportation Fund</t>
        </is>
      </c>
      <c r="C170" t="inlineStr">
        <is>
          <t>Transfers, Debt Service, and Other Requirements</t>
        </is>
      </c>
      <c r="D170" t="inlineStr">
        <is>
          <t>Contractual services</t>
        </is>
      </c>
      <c r="E170" s="11" t="n">
        <v>12977928</v>
      </c>
      <c r="F170" s="11" t="n">
        <v>10814940</v>
      </c>
      <c r="G170" t="n">
        <v>1</v>
      </c>
      <c r="H170" s="12" t="n">
        <v>75</v>
      </c>
      <c r="I170" s="11" t="n">
        <v>9733446</v>
      </c>
      <c r="J170" s="11" t="n">
        <v>2162988</v>
      </c>
      <c r="K170" s="12" t="n">
        <v>83.33333333333333</v>
      </c>
      <c r="L170" s="11" t="n">
        <v>1081494</v>
      </c>
      <c r="M170" s="12" t="n">
        <v>8.333333333333329</v>
      </c>
      <c r="N170" s="11" t="n">
        <v>14419920</v>
      </c>
      <c r="O170" s="11" t="n">
        <v>1441992</v>
      </c>
      <c r="P170" t="inlineStr">
        <is>
          <t>Above pace</t>
        </is>
      </c>
      <c r="Q170" s="11" t="n">
        <v>1081494</v>
      </c>
    </row>
    <row r="171">
      <c r="A171" t="inlineStr">
        <is>
          <t>Public Works</t>
        </is>
      </c>
      <c r="B171" t="inlineStr">
        <is>
          <t>Transportation Fund</t>
        </is>
      </c>
      <c r="C171" t="inlineStr">
        <is>
          <t>Support Services</t>
        </is>
      </c>
      <c r="D171" t="inlineStr">
        <is>
          <t>Contractual services</t>
        </is>
      </c>
      <c r="E171" s="11" t="n">
        <v>3562571</v>
      </c>
      <c r="F171" s="11" t="n">
        <v>1595943.79</v>
      </c>
      <c r="G171" t="n">
        <v>43</v>
      </c>
      <c r="H171" s="12" t="n">
        <v>75</v>
      </c>
      <c r="I171" s="11" t="n">
        <v>2671928.25</v>
      </c>
      <c r="J171" s="11" t="n">
        <v>1966627.21</v>
      </c>
      <c r="K171" s="12" t="n">
        <v>44.7975293685375</v>
      </c>
      <c r="L171" s="11" t="n">
        <v>-1075984.46</v>
      </c>
      <c r="M171" s="12" t="n">
        <v>-30.2024706314625</v>
      </c>
      <c r="N171" s="11" t="n">
        <v>2127925.053333333</v>
      </c>
      <c r="O171" s="11" t="n">
        <v>-1434645.946666667</v>
      </c>
      <c r="P171" t="inlineStr">
        <is>
          <t>Below pace</t>
        </is>
      </c>
      <c r="Q171" s="11" t="n">
        <v>1075984.46</v>
      </c>
    </row>
    <row r="172">
      <c r="A172" t="inlineStr">
        <is>
          <t>Public Works</t>
        </is>
      </c>
      <c r="B172" t="inlineStr">
        <is>
          <t>Transportation Fund</t>
        </is>
      </c>
      <c r="C172" t="inlineStr">
        <is>
          <t>Support Services</t>
        </is>
      </c>
      <c r="D172" t="inlineStr">
        <is>
          <t>Personnel &amp; benefits</t>
        </is>
      </c>
      <c r="E172" s="11" t="n">
        <v>16687460</v>
      </c>
      <c r="F172" s="11" t="n">
        <v>13590862.21</v>
      </c>
      <c r="G172" t="n">
        <v>120</v>
      </c>
      <c r="H172" s="12" t="n">
        <v>75</v>
      </c>
      <c r="I172" s="11" t="n">
        <v>12515595</v>
      </c>
      <c r="J172" s="11" t="n">
        <v>3096597.790000001</v>
      </c>
      <c r="K172" s="12" t="n">
        <v>81.44356426921773</v>
      </c>
      <c r="L172" s="11" t="n">
        <v>1075267.209999999</v>
      </c>
      <c r="M172" s="12" t="n">
        <v>6.443564269217731</v>
      </c>
      <c r="N172" s="11" t="n">
        <v>18121149.61333333</v>
      </c>
      <c r="O172" s="11" t="n">
        <v>1433689.613333333</v>
      </c>
      <c r="P172" t="inlineStr">
        <is>
          <t>Above pace</t>
        </is>
      </c>
      <c r="Q172" s="11" t="n">
        <v>1075267.209999999</v>
      </c>
    </row>
    <row r="173">
      <c r="A173" t="inlineStr">
        <is>
          <t>Office of Arts, Culture, Music and Entertainment</t>
        </is>
      </c>
      <c r="B173" t="inlineStr">
        <is>
          <t>Cultural Arts Fund</t>
        </is>
      </c>
      <c r="C173" t="inlineStr">
        <is>
          <t>Cultural Arts</t>
        </is>
      </c>
      <c r="D173" t="inlineStr">
        <is>
          <t>Contractual services</t>
        </is>
      </c>
      <c r="E173" s="11" t="n">
        <v>1475162</v>
      </c>
      <c r="F173" s="11" t="n">
        <v>42840.45</v>
      </c>
      <c r="G173" t="n">
        <v>1</v>
      </c>
      <c r="H173" s="12" t="n">
        <v>75</v>
      </c>
      <c r="I173" s="11" t="n">
        <v>1106371.5</v>
      </c>
      <c r="J173" s="11" t="n">
        <v>1432321.55</v>
      </c>
      <c r="K173" s="12" t="n">
        <v>2.904118327343031</v>
      </c>
      <c r="L173" s="11" t="n">
        <v>-1063531.05</v>
      </c>
      <c r="M173" s="12" t="n">
        <v>-72.09588167265697</v>
      </c>
      <c r="N173" s="11" t="n">
        <v>57120.6</v>
      </c>
      <c r="O173" s="11" t="n">
        <v>-1418041.4</v>
      </c>
      <c r="P173" t="inlineStr">
        <is>
          <t>Below pace</t>
        </is>
      </c>
      <c r="Q173" s="11" t="n">
        <v>1063531.05</v>
      </c>
    </row>
    <row r="174">
      <c r="A174" t="inlineStr">
        <is>
          <t>Austin Water</t>
        </is>
      </c>
      <c r="B174" t="inlineStr">
        <is>
          <t>Austin Water Water Utility Operating Fund</t>
        </is>
      </c>
      <c r="C174" t="inlineStr">
        <is>
          <t>Other Utility Program Requirements</t>
        </is>
      </c>
      <c r="D174" t="inlineStr">
        <is>
          <t>Other operating costs</t>
        </is>
      </c>
      <c r="E174" s="11" t="n">
        <v>3360865</v>
      </c>
      <c r="F174" s="11" t="n">
        <v>1465266.02</v>
      </c>
      <c r="G174" t="n">
        <v>30</v>
      </c>
      <c r="H174" s="12" t="n">
        <v>75</v>
      </c>
      <c r="I174" s="11" t="n">
        <v>2520648.75</v>
      </c>
      <c r="J174" s="11" t="n">
        <v>1895598.98</v>
      </c>
      <c r="K174" s="12" t="n">
        <v>43.59788387810876</v>
      </c>
      <c r="L174" s="11" t="n">
        <v>-1055382.73</v>
      </c>
      <c r="M174" s="12" t="n">
        <v>-31.40211612189124</v>
      </c>
      <c r="N174" s="11" t="n">
        <v>1953688.026666666</v>
      </c>
      <c r="O174" s="11" t="n">
        <v>-1407176.973333333</v>
      </c>
      <c r="P174" t="inlineStr">
        <is>
          <t>Below pace</t>
        </is>
      </c>
      <c r="Q174" s="11" t="n">
        <v>1055382.73</v>
      </c>
    </row>
    <row r="175">
      <c r="A175" t="inlineStr">
        <is>
          <t>Parks &amp; Recreation</t>
        </is>
      </c>
      <c r="B175" t="inlineStr">
        <is>
          <t>General Fund</t>
        </is>
      </c>
      <c r="C175" t="inlineStr">
        <is>
          <t>Support Services</t>
        </is>
      </c>
      <c r="D175" t="inlineStr">
        <is>
          <t>Personnel &amp; benefits</t>
        </is>
      </c>
      <c r="E175" s="11" t="n">
        <v>8315309.8</v>
      </c>
      <c r="F175" s="11" t="n">
        <v>7291209.76</v>
      </c>
      <c r="G175" t="n">
        <v>73</v>
      </c>
      <c r="H175" s="12" t="n">
        <v>75</v>
      </c>
      <c r="I175" s="11" t="n">
        <v>6236482.35</v>
      </c>
      <c r="J175" s="11" t="n">
        <v>1024100.04</v>
      </c>
      <c r="K175" s="12" t="n">
        <v>87.68416253114226</v>
      </c>
      <c r="L175" s="11" t="n">
        <v>1054727.41</v>
      </c>
      <c r="M175" s="12" t="n">
        <v>12.68416253114226</v>
      </c>
      <c r="N175" s="11" t="n">
        <v>9721613.013333334</v>
      </c>
      <c r="O175" s="11" t="n">
        <v>1406303.213333334</v>
      </c>
      <c r="P175" t="inlineStr">
        <is>
          <t>Above pace</t>
        </is>
      </c>
      <c r="Q175" s="11" t="n">
        <v>1054727.41</v>
      </c>
    </row>
    <row r="176">
      <c r="A176" t="inlineStr">
        <is>
          <t>Human Resources</t>
        </is>
      </c>
      <c r="B176" t="inlineStr">
        <is>
          <t>Employee Benefits Fund</t>
        </is>
      </c>
      <c r="C176" t="inlineStr">
        <is>
          <t>Support Services</t>
        </is>
      </c>
      <c r="D176" t="inlineStr">
        <is>
          <t>Contractual services</t>
        </is>
      </c>
      <c r="E176" s="11" t="n">
        <v>5015630</v>
      </c>
      <c r="F176" s="11" t="n">
        <v>2709096.43</v>
      </c>
      <c r="G176" t="n">
        <v>6</v>
      </c>
      <c r="H176" s="12" t="n">
        <v>75</v>
      </c>
      <c r="I176" s="11" t="n">
        <v>3761722.5</v>
      </c>
      <c r="J176" s="11" t="n">
        <v>2306533.57</v>
      </c>
      <c r="K176" s="12" t="n">
        <v>54.01308370035269</v>
      </c>
      <c r="L176" s="11" t="n">
        <v>-1052626.07</v>
      </c>
      <c r="M176" s="12" t="n">
        <v>-20.98691629964731</v>
      </c>
      <c r="N176" s="11" t="n">
        <v>3612128.573333333</v>
      </c>
      <c r="O176" s="11" t="n">
        <v>-1403501.426666667</v>
      </c>
      <c r="P176" t="inlineStr">
        <is>
          <t>Below pace</t>
        </is>
      </c>
      <c r="Q176" s="11" t="n">
        <v>1052626.07</v>
      </c>
    </row>
    <row r="177">
      <c r="A177" t="inlineStr">
        <is>
          <t>Human Resources</t>
        </is>
      </c>
      <c r="B177" t="inlineStr">
        <is>
          <t>Workers' Compensation Fund</t>
        </is>
      </c>
      <c r="C177" t="inlineStr">
        <is>
          <t>Expense Refunds</t>
        </is>
      </c>
      <c r="D177" t="inlineStr">
        <is>
          <t>Other operating costs</t>
        </is>
      </c>
      <c r="E177" s="11" t="n">
        <v>-6382244</v>
      </c>
      <c r="F177" s="11" t="n">
        <v>-3736787.49</v>
      </c>
      <c r="G177" t="n">
        <v>2</v>
      </c>
      <c r="H177" s="12" t="n">
        <v>75</v>
      </c>
      <c r="I177" s="11" t="n">
        <v>-4786683</v>
      </c>
      <c r="J177" s="11" t="n">
        <v>-2645456.51</v>
      </c>
      <c r="K177" s="12" t="n">
        <v>58.54974347580569</v>
      </c>
      <c r="L177" s="11" t="n">
        <v>1049895.51</v>
      </c>
      <c r="M177" s="12" t="n">
        <v>-16.45025652419431</v>
      </c>
      <c r="N177" s="11" t="n">
        <v>-4982383.319999999</v>
      </c>
      <c r="O177" s="11" t="n">
        <v>1399860.680000001</v>
      </c>
      <c r="P177" t="inlineStr">
        <is>
          <t>Review: non-positive budget</t>
        </is>
      </c>
      <c r="Q177" s="11" t="n">
        <v>1049895.51</v>
      </c>
    </row>
    <row r="178">
      <c r="A178" t="inlineStr">
        <is>
          <t>Human Resources</t>
        </is>
      </c>
      <c r="B178" t="inlineStr">
        <is>
          <t>Support Services Fund</t>
        </is>
      </c>
      <c r="C178" t="inlineStr">
        <is>
          <t>Support Services</t>
        </is>
      </c>
      <c r="D178" t="inlineStr">
        <is>
          <t>Personnel &amp; benefits</t>
        </is>
      </c>
      <c r="E178" s="11" t="n">
        <v>1233093</v>
      </c>
      <c r="F178" s="11" t="n">
        <v>1941721.89</v>
      </c>
      <c r="G178" t="n">
        <v>12</v>
      </c>
      <c r="H178" s="12" t="n">
        <v>75</v>
      </c>
      <c r="I178" s="11" t="n">
        <v>924819.75</v>
      </c>
      <c r="J178" s="11" t="n">
        <v>-708628.8900000001</v>
      </c>
      <c r="K178" s="12" t="n">
        <v>157.4675949016011</v>
      </c>
      <c r="L178" s="11" t="n">
        <v>1016902.14</v>
      </c>
      <c r="M178" s="12" t="n">
        <v>82.4675949016011</v>
      </c>
      <c r="N178" s="11" t="n">
        <v>2588962.52</v>
      </c>
      <c r="O178" s="11" t="n">
        <v>1355869.52</v>
      </c>
      <c r="P178" t="inlineStr">
        <is>
          <t>Above pace</t>
        </is>
      </c>
      <c r="Q178" s="11" t="n">
        <v>1016902.14</v>
      </c>
    </row>
    <row r="179">
      <c r="A179" t="inlineStr">
        <is>
          <t>Austin Convention Center</t>
        </is>
      </c>
      <c r="B179" t="inlineStr">
        <is>
          <t>Town Lake Park Vehicle Rental Tax Fund</t>
        </is>
      </c>
      <c r="C179" t="inlineStr">
        <is>
          <t>Transfers, Debt Service, and Other Requirements</t>
        </is>
      </c>
      <c r="D179" t="inlineStr">
        <is>
          <t>Transfers &amp; debt service</t>
        </is>
      </c>
      <c r="E179" s="11" t="n">
        <v>14998344</v>
      </c>
      <c r="F179" s="11" t="n">
        <v>12265151.6</v>
      </c>
      <c r="G179" t="n">
        <v>3</v>
      </c>
      <c r="H179" s="12" t="n">
        <v>75</v>
      </c>
      <c r="I179" s="11" t="n">
        <v>11248758</v>
      </c>
      <c r="J179" s="11" t="n">
        <v>2733192.399999999</v>
      </c>
      <c r="K179" s="12" t="n">
        <v>81.77670548161852</v>
      </c>
      <c r="L179" s="11" t="n">
        <v>1016393.600000002</v>
      </c>
      <c r="M179" s="12" t="n">
        <v>6.776705481618521</v>
      </c>
      <c r="N179" s="11" t="n">
        <v>16353535.46666667</v>
      </c>
      <c r="O179" s="11" t="n">
        <v>1355191.466666669</v>
      </c>
      <c r="P179" t="inlineStr">
        <is>
          <t>Above pace</t>
        </is>
      </c>
      <c r="Q179" s="11" t="n">
        <v>1016393.600000002</v>
      </c>
    </row>
    <row r="180">
      <c r="A180" t="inlineStr">
        <is>
          <t>Financial Services</t>
        </is>
      </c>
      <c r="B180" t="inlineStr">
        <is>
          <t>Support Services Fund</t>
        </is>
      </c>
      <c r="C180" t="inlineStr">
        <is>
          <t>Transfers, Debt Service, and Other Requirements</t>
        </is>
      </c>
      <c r="D180" t="inlineStr">
        <is>
          <t>Contractual services</t>
        </is>
      </c>
      <c r="E180" s="11" t="n">
        <v>6622220</v>
      </c>
      <c r="F180" s="11" t="n">
        <v>3956285.97</v>
      </c>
      <c r="G180" t="n">
        <v>3</v>
      </c>
      <c r="H180" s="12" t="n">
        <v>75</v>
      </c>
      <c r="I180" s="11" t="n">
        <v>4966665</v>
      </c>
      <c r="J180" s="11" t="n">
        <v>2665934.03</v>
      </c>
      <c r="K180" s="12" t="n">
        <v>59.74259342033336</v>
      </c>
      <c r="L180" s="11" t="n">
        <v>-1010379.03</v>
      </c>
      <c r="M180" s="12" t="n">
        <v>-15.25740657966664</v>
      </c>
      <c r="N180" s="11" t="n">
        <v>5275047.96</v>
      </c>
      <c r="O180" s="11" t="n">
        <v>-1347172.04</v>
      </c>
      <c r="P180" t="inlineStr">
        <is>
          <t>Below pace</t>
        </is>
      </c>
      <c r="Q180" s="11" t="n">
        <v>1010379.03</v>
      </c>
    </row>
    <row r="181">
      <c r="A181" t="inlineStr">
        <is>
          <t>Communications &amp; Technology Management</t>
        </is>
      </c>
      <c r="B181" t="inlineStr">
        <is>
          <t>Information and Technology Fund</t>
        </is>
      </c>
      <c r="C181" t="inlineStr">
        <is>
          <t>Customer Delivery</t>
        </is>
      </c>
      <c r="D181" t="inlineStr">
        <is>
          <t>Other operating costs</t>
        </is>
      </c>
      <c r="E181" s="11" t="n">
        <v>-1023607</v>
      </c>
      <c r="F181" s="11" t="n">
        <v>242370.69</v>
      </c>
      <c r="G181" t="n">
        <v>131</v>
      </c>
      <c r="H181" s="12" t="n">
        <v>75</v>
      </c>
      <c r="I181" s="11" t="n">
        <v>-767705.25</v>
      </c>
      <c r="J181" s="11" t="n">
        <v>-1265977.69</v>
      </c>
      <c r="K181" s="12" t="n">
        <v>-23.67810009114826</v>
      </c>
      <c r="L181" s="11" t="n">
        <v>1010075.94</v>
      </c>
      <c r="M181" s="12" t="n">
        <v>-98.67810009114828</v>
      </c>
      <c r="N181" s="11" t="n">
        <v>323160.92</v>
      </c>
      <c r="O181" s="11" t="n">
        <v>1346767.92</v>
      </c>
      <c r="P181" t="inlineStr">
        <is>
          <t>Review: non-positive budget</t>
        </is>
      </c>
      <c r="Q181" s="11" t="n">
        <v>1010075.94</v>
      </c>
    </row>
    <row r="182">
      <c r="A182" t="inlineStr">
        <is>
          <t>Austin Water</t>
        </is>
      </c>
      <c r="B182" t="inlineStr">
        <is>
          <t>Austin Water Wastewater Utility Operating Fund</t>
        </is>
      </c>
      <c r="C182" t="inlineStr">
        <is>
          <t>Transfers, Debt Service, and Other Requirements</t>
        </is>
      </c>
      <c r="D182" t="inlineStr">
        <is>
          <t>Other operating costs</t>
        </is>
      </c>
      <c r="E182" s="11" t="n">
        <v>15030220</v>
      </c>
      <c r="F182" s="11" t="n">
        <v>12273462.23</v>
      </c>
      <c r="G182" t="n">
        <v>10</v>
      </c>
      <c r="H182" s="12" t="n">
        <v>75</v>
      </c>
      <c r="I182" s="11" t="n">
        <v>11272665</v>
      </c>
      <c r="J182" s="11" t="n">
        <v>2756757.77</v>
      </c>
      <c r="K182" s="12" t="n">
        <v>81.65856674087271</v>
      </c>
      <c r="L182" s="11" t="n">
        <v>1000797.23</v>
      </c>
      <c r="M182" s="12" t="n">
        <v>6.658566740872715</v>
      </c>
      <c r="N182" s="11" t="n">
        <v>16364616.30666667</v>
      </c>
      <c r="O182" s="11" t="n">
        <v>1334396.306666667</v>
      </c>
      <c r="P182" t="inlineStr">
        <is>
          <t>Above pace</t>
        </is>
      </c>
      <c r="Q182" s="11" t="n">
        <v>1000797.23</v>
      </c>
    </row>
    <row r="183">
      <c r="A183" t="inlineStr">
        <is>
          <t>Human Resources</t>
        </is>
      </c>
      <c r="B183" t="inlineStr">
        <is>
          <t>Employee Benefits Fund</t>
        </is>
      </c>
      <c r="C183" t="inlineStr">
        <is>
          <t>Employee Medical</t>
        </is>
      </c>
      <c r="D183" t="inlineStr">
        <is>
          <t>Grants &amp; contributions</t>
        </is>
      </c>
      <c r="E183" s="11" t="n">
        <v>4633525</v>
      </c>
      <c r="F183" s="11" t="n">
        <v>4472251.29</v>
      </c>
      <c r="G183" t="n">
        <v>1</v>
      </c>
      <c r="H183" s="12" t="n">
        <v>75</v>
      </c>
      <c r="I183" s="11" t="n">
        <v>3475143.75</v>
      </c>
      <c r="J183" s="11" t="n">
        <v>161273.71</v>
      </c>
      <c r="K183" s="12" t="n">
        <v>96.51941642701831</v>
      </c>
      <c r="L183" s="11" t="n">
        <v>997107.54</v>
      </c>
      <c r="M183" s="12" t="n">
        <v>21.51941642701832</v>
      </c>
      <c r="N183" s="11" t="n">
        <v>5963001.72</v>
      </c>
      <c r="O183" s="11" t="n">
        <v>1329476.72</v>
      </c>
      <c r="P183" t="inlineStr">
        <is>
          <t>Above pace</t>
        </is>
      </c>
      <c r="Q183" s="11" t="n">
        <v>997107.54</v>
      </c>
    </row>
    <row r="184">
      <c r="A184" t="inlineStr">
        <is>
          <t>Development Services</t>
        </is>
      </c>
      <c r="B184" t="inlineStr">
        <is>
          <t>Development Services Fund</t>
        </is>
      </c>
      <c r="C184" t="inlineStr">
        <is>
          <t>Support Services</t>
        </is>
      </c>
      <c r="D184" t="inlineStr">
        <is>
          <t>Personnel &amp; benefits</t>
        </is>
      </c>
      <c r="E184" s="11" t="n">
        <v>14325479</v>
      </c>
      <c r="F184" s="11" t="n">
        <v>9762762.539999999</v>
      </c>
      <c r="G184" t="n">
        <v>169</v>
      </c>
      <c r="H184" s="12" t="n">
        <v>75</v>
      </c>
      <c r="I184" s="11" t="n">
        <v>10744109.25</v>
      </c>
      <c r="J184" s="11" t="n">
        <v>4562716.460000001</v>
      </c>
      <c r="K184" s="12" t="n">
        <v>68.14964120920493</v>
      </c>
      <c r="L184" s="11" t="n">
        <v>-981346.7100000008</v>
      </c>
      <c r="M184" s="12" t="n">
        <v>-6.85035879079507</v>
      </c>
      <c r="N184" s="11" t="n">
        <v>13017016.72</v>
      </c>
      <c r="O184" s="11" t="n">
        <v>-1308462.280000001</v>
      </c>
      <c r="P184" t="inlineStr">
        <is>
          <t>Below pace</t>
        </is>
      </c>
      <c r="Q184" s="11" t="n">
        <v>981346.7100000008</v>
      </c>
    </row>
    <row r="185">
      <c r="A185" t="inlineStr">
        <is>
          <t>Human Resources</t>
        </is>
      </c>
      <c r="B185" t="inlineStr">
        <is>
          <t>Support Services Fund</t>
        </is>
      </c>
      <c r="C185" t="inlineStr">
        <is>
          <t>Support Services</t>
        </is>
      </c>
      <c r="D185" t="inlineStr">
        <is>
          <t>Other operating costs</t>
        </is>
      </c>
      <c r="E185" s="11" t="n">
        <v>1533456</v>
      </c>
      <c r="F185" s="11" t="n">
        <v>172264.93</v>
      </c>
      <c r="G185" t="n">
        <v>41</v>
      </c>
      <c r="H185" s="12" t="n">
        <v>75</v>
      </c>
      <c r="I185" s="11" t="n">
        <v>1150092</v>
      </c>
      <c r="J185" s="11" t="n">
        <v>1361191.07</v>
      </c>
      <c r="K185" s="12" t="n">
        <v>11.23377064617439</v>
      </c>
      <c r="L185" s="11" t="n">
        <v>-977827.0699999999</v>
      </c>
      <c r="M185" s="12" t="n">
        <v>-63.76622935382561</v>
      </c>
      <c r="N185" s="11" t="n">
        <v>229686.5733333333</v>
      </c>
      <c r="O185" s="11" t="n">
        <v>-1303769.426666667</v>
      </c>
      <c r="P185" t="inlineStr">
        <is>
          <t>Below pace</t>
        </is>
      </c>
      <c r="Q185" s="11" t="n">
        <v>977827.0699999999</v>
      </c>
    </row>
    <row r="186">
      <c r="A186" t="inlineStr">
        <is>
          <t>Watershed Protection</t>
        </is>
      </c>
      <c r="B186" t="inlineStr">
        <is>
          <t>Drainage Utility Fund</t>
        </is>
      </c>
      <c r="C186" t="inlineStr">
        <is>
          <t>Support Services</t>
        </is>
      </c>
      <c r="D186" t="inlineStr">
        <is>
          <t>Other operating costs</t>
        </is>
      </c>
      <c r="E186" s="11" t="n">
        <v>3762960</v>
      </c>
      <c r="F186" s="11" t="n">
        <v>1856015.5</v>
      </c>
      <c r="G186" t="n">
        <v>250</v>
      </c>
      <c r="H186" s="12" t="n">
        <v>75</v>
      </c>
      <c r="I186" s="11" t="n">
        <v>2822220</v>
      </c>
      <c r="J186" s="11" t="n">
        <v>1906944.5</v>
      </c>
      <c r="K186" s="12" t="n">
        <v>49.32328539235071</v>
      </c>
      <c r="L186" s="11" t="n">
        <v>-966204.5</v>
      </c>
      <c r="M186" s="12" t="n">
        <v>-25.67671460764929</v>
      </c>
      <c r="N186" s="11" t="n">
        <v>2474687.333333333</v>
      </c>
      <c r="O186" s="11" t="n">
        <v>-1288272.666666667</v>
      </c>
      <c r="P186" t="inlineStr">
        <is>
          <t>Below pace</t>
        </is>
      </c>
      <c r="Q186" s="11" t="n">
        <v>966204.5</v>
      </c>
    </row>
    <row r="187">
      <c r="A187" t="inlineStr">
        <is>
          <t>Austin Resource Recovery</t>
        </is>
      </c>
      <c r="B187" t="inlineStr">
        <is>
          <t>Austin Resource Recovery Fund</t>
        </is>
      </c>
      <c r="C187" t="inlineStr">
        <is>
          <t>Support Services</t>
        </is>
      </c>
      <c r="D187" t="inlineStr">
        <is>
          <t>Other operating costs</t>
        </is>
      </c>
      <c r="E187" s="11" t="n">
        <v>2922184</v>
      </c>
      <c r="F187" s="11" t="n">
        <v>1248086.81</v>
      </c>
      <c r="G187" t="n">
        <v>241</v>
      </c>
      <c r="H187" s="12" t="n">
        <v>75</v>
      </c>
      <c r="I187" s="11" t="n">
        <v>2191638</v>
      </c>
      <c r="J187" s="11" t="n">
        <v>1674097.19</v>
      </c>
      <c r="K187" s="12" t="n">
        <v>42.71075366917347</v>
      </c>
      <c r="L187" s="11" t="n">
        <v>-943551.1899999999</v>
      </c>
      <c r="M187" s="12" t="n">
        <v>-32.28924633082653</v>
      </c>
      <c r="N187" s="11" t="n">
        <v>1664115.746666667</v>
      </c>
      <c r="O187" s="11" t="n">
        <v>-1258068.253333333</v>
      </c>
      <c r="P187" t="inlineStr">
        <is>
          <t>Below pace</t>
        </is>
      </c>
      <c r="Q187" s="11" t="n">
        <v>943551.1899999999</v>
      </c>
    </row>
    <row r="188">
      <c r="A188" t="inlineStr">
        <is>
          <t>Austin Resource Recovery</t>
        </is>
      </c>
      <c r="B188" t="inlineStr">
        <is>
          <t>Austin Resource Recovery Fund</t>
        </is>
      </c>
      <c r="C188" t="inlineStr">
        <is>
          <t>Support Services</t>
        </is>
      </c>
      <c r="D188" t="inlineStr">
        <is>
          <t>Personnel &amp; benefits</t>
        </is>
      </c>
      <c r="E188" s="11" t="n">
        <v>10068354</v>
      </c>
      <c r="F188" s="11" t="n">
        <v>8478595.470000001</v>
      </c>
      <c r="G188" t="n">
        <v>103</v>
      </c>
      <c r="H188" s="12" t="n">
        <v>75</v>
      </c>
      <c r="I188" s="11" t="n">
        <v>7551265.5</v>
      </c>
      <c r="J188" s="11" t="n">
        <v>1589758.529999999</v>
      </c>
      <c r="K188" s="12" t="n">
        <v>84.21034331927544</v>
      </c>
      <c r="L188" s="11" t="n">
        <v>927329.9700000008</v>
      </c>
      <c r="M188" s="12" t="n">
        <v>9.210343319275438</v>
      </c>
      <c r="N188" s="11" t="n">
        <v>11304793.96</v>
      </c>
      <c r="O188" s="11" t="n">
        <v>1236439.960000001</v>
      </c>
      <c r="P188" t="inlineStr">
        <is>
          <t>Above pace</t>
        </is>
      </c>
      <c r="Q188" s="11" t="n">
        <v>927329.9700000008</v>
      </c>
    </row>
    <row r="189">
      <c r="A189" t="inlineStr">
        <is>
          <t>Watershed Protection</t>
        </is>
      </c>
      <c r="B189" t="inlineStr">
        <is>
          <t>Drainage Utility Fund</t>
        </is>
      </c>
      <c r="C189" t="inlineStr">
        <is>
          <t>Planning, Monitoring, &amp; Compliance</t>
        </is>
      </c>
      <c r="D189" t="inlineStr">
        <is>
          <t>Contractual services</t>
        </is>
      </c>
      <c r="E189" s="11" t="n">
        <v>1848469</v>
      </c>
      <c r="F189" s="11" t="n">
        <v>461113.03</v>
      </c>
      <c r="G189" t="n">
        <v>35</v>
      </c>
      <c r="H189" s="12" t="n">
        <v>75</v>
      </c>
      <c r="I189" s="11" t="n">
        <v>1386351.75</v>
      </c>
      <c r="J189" s="11" t="n">
        <v>1387355.97</v>
      </c>
      <c r="K189" s="12" t="n">
        <v>24.94567287847402</v>
      </c>
      <c r="L189" s="11" t="n">
        <v>-925238.72</v>
      </c>
      <c r="M189" s="12" t="n">
        <v>-50.05432712152597</v>
      </c>
      <c r="N189" s="11" t="n">
        <v>614817.3733333333</v>
      </c>
      <c r="O189" s="11" t="n">
        <v>-1233651.626666667</v>
      </c>
      <c r="P189" t="inlineStr">
        <is>
          <t>Below pace</t>
        </is>
      </c>
      <c r="Q189" s="11" t="n">
        <v>925238.72</v>
      </c>
    </row>
    <row r="190">
      <c r="A190" t="inlineStr">
        <is>
          <t>Communications &amp; Technology Management</t>
        </is>
      </c>
      <c r="B190" t="inlineStr">
        <is>
          <t>Information and Technology Fund</t>
        </is>
      </c>
      <c r="C190" t="inlineStr">
        <is>
          <t>Enterprise Operations &amp; Technology</t>
        </is>
      </c>
      <c r="D190" t="inlineStr">
        <is>
          <t>Supplies, technology &amp; equipment</t>
        </is>
      </c>
      <c r="E190" s="11" t="n">
        <v>8552767</v>
      </c>
      <c r="F190" s="11" t="n">
        <v>7338115.68</v>
      </c>
      <c r="G190" t="n">
        <v>42</v>
      </c>
      <c r="H190" s="12" t="n">
        <v>75</v>
      </c>
      <c r="I190" s="11" t="n">
        <v>6414575.25</v>
      </c>
      <c r="J190" s="11" t="n">
        <v>1214651.32</v>
      </c>
      <c r="K190" s="12" t="n">
        <v>85.7981478976336</v>
      </c>
      <c r="L190" s="11" t="n">
        <v>923540.4299999996</v>
      </c>
      <c r="M190" s="12" t="n">
        <v>10.7981478976336</v>
      </c>
      <c r="N190" s="11" t="n">
        <v>9784154.24</v>
      </c>
      <c r="O190" s="11" t="n">
        <v>1231387.24</v>
      </c>
      <c r="P190" t="inlineStr">
        <is>
          <t>Above pace</t>
        </is>
      </c>
      <c r="Q190" s="11" t="n">
        <v>923540.4299999996</v>
      </c>
    </row>
    <row r="191">
      <c r="A191" t="inlineStr">
        <is>
          <t>Public Works</t>
        </is>
      </c>
      <c r="B191" t="inlineStr">
        <is>
          <t>Transportation Fund</t>
        </is>
      </c>
      <c r="C191" t="inlineStr">
        <is>
          <t>Transportation Operations</t>
        </is>
      </c>
      <c r="D191" t="inlineStr">
        <is>
          <t>Other operating costs</t>
        </is>
      </c>
      <c r="E191" s="11" t="n">
        <v>7382447</v>
      </c>
      <c r="F191" s="11" t="n">
        <v>4615800.63</v>
      </c>
      <c r="G191" t="n">
        <v>127</v>
      </c>
      <c r="H191" s="12" t="n">
        <v>75</v>
      </c>
      <c r="I191" s="11" t="n">
        <v>5536835.25</v>
      </c>
      <c r="J191" s="11" t="n">
        <v>2766646.37</v>
      </c>
      <c r="K191" s="12" t="n">
        <v>62.52399278992453</v>
      </c>
      <c r="L191" s="11" t="n">
        <v>-921034.62</v>
      </c>
      <c r="M191" s="12" t="n">
        <v>-12.47600721007547</v>
      </c>
      <c r="N191" s="11" t="n">
        <v>6154400.84</v>
      </c>
      <c r="O191" s="11" t="n">
        <v>-1228046.16</v>
      </c>
      <c r="P191" t="inlineStr">
        <is>
          <t>Below pace</t>
        </is>
      </c>
      <c r="Q191" s="11" t="n">
        <v>921034.62</v>
      </c>
    </row>
    <row r="192">
      <c r="A192" t="inlineStr">
        <is>
          <t>Austin Public Library</t>
        </is>
      </c>
      <c r="B192" t="inlineStr">
        <is>
          <t>General Fund</t>
        </is>
      </c>
      <c r="C192" t="inlineStr">
        <is>
          <t>Transfers, Debt Service, and Other Requirements</t>
        </is>
      </c>
      <c r="D192" t="inlineStr">
        <is>
          <t>Other operating costs</t>
        </is>
      </c>
      <c r="E192" s="11" t="n">
        <v>14366463</v>
      </c>
      <c r="F192" s="11" t="n">
        <v>11686254.2</v>
      </c>
      <c r="G192" t="n">
        <v>9</v>
      </c>
      <c r="H192" s="12" t="n">
        <v>75</v>
      </c>
      <c r="I192" s="11" t="n">
        <v>10774847.25</v>
      </c>
      <c r="J192" s="11" t="n">
        <v>2680208.800000001</v>
      </c>
      <c r="K192" s="12" t="n">
        <v>81.34398981850995</v>
      </c>
      <c r="L192" s="11" t="n">
        <v>911406.9499999993</v>
      </c>
      <c r="M192" s="12" t="n">
        <v>6.343989818509954</v>
      </c>
      <c r="N192" s="11" t="n">
        <v>15581672.26666667</v>
      </c>
      <c r="O192" s="11" t="n">
        <v>1215209.266666666</v>
      </c>
      <c r="P192" t="inlineStr">
        <is>
          <t>Above pace</t>
        </is>
      </c>
      <c r="Q192" s="11" t="n">
        <v>911406.9499999993</v>
      </c>
    </row>
    <row r="193">
      <c r="A193" t="inlineStr">
        <is>
          <t>Human Resources</t>
        </is>
      </c>
      <c r="B193" t="inlineStr">
        <is>
          <t>Workers' Compensation Fund</t>
        </is>
      </c>
      <c r="C193" t="inlineStr">
        <is>
          <t>Medical Expenses and Claims Reserve</t>
        </is>
      </c>
      <c r="D193" t="inlineStr">
        <is>
          <t>Supplies, technology &amp; equipment</t>
        </is>
      </c>
      <c r="E193" s="11" t="n">
        <v>1631657</v>
      </c>
      <c r="F193" s="11" t="n">
        <v>314225.28</v>
      </c>
      <c r="G193" t="n">
        <v>1</v>
      </c>
      <c r="H193" s="12" t="n">
        <v>75</v>
      </c>
      <c r="I193" s="11" t="n">
        <v>1223742.75</v>
      </c>
      <c r="J193" s="11" t="n">
        <v>1317431.72</v>
      </c>
      <c r="K193" s="12" t="n">
        <v>19.25804749405053</v>
      </c>
      <c r="L193" s="11" t="n">
        <v>-909517.47</v>
      </c>
      <c r="M193" s="12" t="n">
        <v>-55.74195250594947</v>
      </c>
      <c r="N193" s="11" t="n">
        <v>418967.04</v>
      </c>
      <c r="O193" s="11" t="n">
        <v>-1212689.96</v>
      </c>
      <c r="P193" t="inlineStr">
        <is>
          <t>Below pace</t>
        </is>
      </c>
      <c r="Q193" s="11" t="n">
        <v>909517.47</v>
      </c>
    </row>
    <row r="194">
      <c r="A194" t="inlineStr">
        <is>
          <t>Economic Development</t>
        </is>
      </c>
      <c r="B194" t="inlineStr">
        <is>
          <t>Economic Incentives Reserve Fund</t>
        </is>
      </c>
      <c r="C194" t="inlineStr">
        <is>
          <t>Business Incentives and Expansion</t>
        </is>
      </c>
      <c r="D194" t="inlineStr">
        <is>
          <t>Other operating costs</t>
        </is>
      </c>
      <c r="E194" s="11" t="n">
        <v>1311378</v>
      </c>
      <c r="F194" s="11" t="n">
        <v>75000</v>
      </c>
      <c r="G194" t="n">
        <v>1</v>
      </c>
      <c r="H194" s="12" t="n">
        <v>75</v>
      </c>
      <c r="I194" s="11" t="n">
        <v>983533.5</v>
      </c>
      <c r="J194" s="11" t="n">
        <v>1236378</v>
      </c>
      <c r="K194" s="12" t="n">
        <v>5.719174791707654</v>
      </c>
      <c r="L194" s="11" t="n">
        <v>-908533.5</v>
      </c>
      <c r="M194" s="12" t="n">
        <v>-69.28082520829234</v>
      </c>
      <c r="N194" s="11" t="n">
        <v>100000</v>
      </c>
      <c r="O194" s="11" t="n">
        <v>-1211378</v>
      </c>
      <c r="P194" t="inlineStr">
        <is>
          <t>Below pace</t>
        </is>
      </c>
      <c r="Q194" s="11" t="n">
        <v>908533.5</v>
      </c>
    </row>
    <row r="195">
      <c r="A195" t="inlineStr">
        <is>
          <t>Watershed Protection</t>
        </is>
      </c>
      <c r="B195" t="inlineStr">
        <is>
          <t>Drainage Utility Fund</t>
        </is>
      </c>
      <c r="C195" t="inlineStr">
        <is>
          <t>Support Services</t>
        </is>
      </c>
      <c r="D195" t="inlineStr">
        <is>
          <t>Contractual services</t>
        </is>
      </c>
      <c r="E195" s="11" t="n">
        <v>1770222</v>
      </c>
      <c r="F195" s="11" t="n">
        <v>422511.54</v>
      </c>
      <c r="G195" t="n">
        <v>42</v>
      </c>
      <c r="H195" s="12" t="n">
        <v>75</v>
      </c>
      <c r="I195" s="11" t="n">
        <v>1327666.5</v>
      </c>
      <c r="J195" s="11" t="n">
        <v>1347710.46</v>
      </c>
      <c r="K195" s="12" t="n">
        <v>23.86771489677566</v>
      </c>
      <c r="L195" s="11" t="n">
        <v>-905154.96</v>
      </c>
      <c r="M195" s="12" t="n">
        <v>-51.13228510322434</v>
      </c>
      <c r="N195" s="11" t="n">
        <v>563348.72</v>
      </c>
      <c r="O195" s="11" t="n">
        <v>-1206873.28</v>
      </c>
      <c r="P195" t="inlineStr">
        <is>
          <t>Below pace</t>
        </is>
      </c>
      <c r="Q195" s="11" t="n">
        <v>905154.96</v>
      </c>
    </row>
    <row r="196">
      <c r="A196" t="inlineStr">
        <is>
          <t>Human Resources</t>
        </is>
      </c>
      <c r="B196" t="inlineStr">
        <is>
          <t>Workers' Compensation Fund</t>
        </is>
      </c>
      <c r="C196" t="inlineStr">
        <is>
          <t>Medical Expenses and Claims Reserve</t>
        </is>
      </c>
      <c r="D196" t="inlineStr">
        <is>
          <t>Other operating costs</t>
        </is>
      </c>
      <c r="E196" s="11" t="n">
        <v>875397</v>
      </c>
      <c r="F196" s="11" t="n">
        <v>1559820.11</v>
      </c>
      <c r="G196" t="n">
        <v>5</v>
      </c>
      <c r="H196" s="12" t="n">
        <v>75</v>
      </c>
      <c r="I196" s="11" t="n">
        <v>656547.75</v>
      </c>
      <c r="J196" s="11" t="n">
        <v>-684423.1099999999</v>
      </c>
      <c r="K196" s="12" t="n">
        <v>178.1843106613342</v>
      </c>
      <c r="L196" s="11" t="n">
        <v>903272.36</v>
      </c>
      <c r="M196" s="12" t="n">
        <v>103.1843106613342</v>
      </c>
      <c r="N196" s="11" t="n">
        <v>2079760.146666666</v>
      </c>
      <c r="O196" s="11" t="n">
        <v>1204363.146666666</v>
      </c>
      <c r="P196" t="inlineStr">
        <is>
          <t>Above pace</t>
        </is>
      </c>
      <c r="Q196" s="11" t="n">
        <v>903272.36</v>
      </c>
    </row>
    <row r="197">
      <c r="A197" t="inlineStr">
        <is>
          <t>Austin Public Health</t>
        </is>
      </c>
      <c r="B197" t="inlineStr">
        <is>
          <t>1115 Medicaid Waiver</t>
        </is>
      </c>
      <c r="C197" t="inlineStr">
        <is>
          <t>Community Services</t>
        </is>
      </c>
      <c r="D197" t="inlineStr">
        <is>
          <t>Personnel &amp; benefits</t>
        </is>
      </c>
      <c r="E197" s="11" t="n">
        <v>1200580.63</v>
      </c>
      <c r="F197" s="11" t="n">
        <v>0</v>
      </c>
      <c r="G197" t="n">
        <v>7</v>
      </c>
      <c r="H197" s="12" t="n">
        <v>75</v>
      </c>
      <c r="I197" s="11" t="n">
        <v>900435.4725000001</v>
      </c>
      <c r="J197" s="11" t="n">
        <v>1200580.63</v>
      </c>
      <c r="K197" s="12" t="n">
        <v>0</v>
      </c>
      <c r="L197" s="11" t="n">
        <v>-900435.4725000001</v>
      </c>
      <c r="M197" s="12" t="n">
        <v>-75</v>
      </c>
      <c r="N197" s="11" t="n">
        <v>0</v>
      </c>
      <c r="O197" s="11" t="n">
        <v>-1200580.63</v>
      </c>
      <c r="P197" t="inlineStr">
        <is>
          <t>Below pace</t>
        </is>
      </c>
      <c r="Q197" s="11" t="n">
        <v>900435.4725000001</v>
      </c>
    </row>
    <row r="198">
      <c r="A198" t="inlineStr">
        <is>
          <t>Austin Resource Recovery</t>
        </is>
      </c>
      <c r="B198" t="inlineStr">
        <is>
          <t>Austin Resource Recovery Fund</t>
        </is>
      </c>
      <c r="C198" t="inlineStr">
        <is>
          <t>Litter Abatement</t>
        </is>
      </c>
      <c r="D198" t="inlineStr">
        <is>
          <t>Contractual services</t>
        </is>
      </c>
      <c r="E198" s="11" t="n">
        <v>2008947</v>
      </c>
      <c r="F198" s="11" t="n">
        <v>609028.8199999999</v>
      </c>
      <c r="G198" t="n">
        <v>22</v>
      </c>
      <c r="H198" s="12" t="n">
        <v>75</v>
      </c>
      <c r="I198" s="11" t="n">
        <v>1506710.25</v>
      </c>
      <c r="J198" s="11" t="n">
        <v>1399918.18</v>
      </c>
      <c r="K198" s="12" t="n">
        <v>30.31582316507105</v>
      </c>
      <c r="L198" s="11" t="n">
        <v>-897681.4300000001</v>
      </c>
      <c r="M198" s="12" t="n">
        <v>-44.68417683492895</v>
      </c>
      <c r="N198" s="11" t="n">
        <v>812038.4266666666</v>
      </c>
      <c r="O198" s="11" t="n">
        <v>-1196908.573333333</v>
      </c>
      <c r="P198" t="inlineStr">
        <is>
          <t>Below pace</t>
        </is>
      </c>
      <c r="Q198" s="11" t="n">
        <v>897681.4300000001</v>
      </c>
    </row>
    <row r="199">
      <c r="A199" t="inlineStr">
        <is>
          <t>Austin Public Library</t>
        </is>
      </c>
      <c r="B199" t="inlineStr">
        <is>
          <t>General Fund</t>
        </is>
      </c>
      <c r="C199" t="inlineStr">
        <is>
          <t>Support Services</t>
        </is>
      </c>
      <c r="D199" t="inlineStr">
        <is>
          <t>Contractual services</t>
        </is>
      </c>
      <c r="E199" s="11" t="n">
        <v>1370780</v>
      </c>
      <c r="F199" s="11" t="n">
        <v>1925454.4</v>
      </c>
      <c r="G199" t="n">
        <v>30</v>
      </c>
      <c r="H199" s="12" t="n">
        <v>75</v>
      </c>
      <c r="I199" s="11" t="n">
        <v>1028085</v>
      </c>
      <c r="J199" s="11" t="n">
        <v>-554674.3999999999</v>
      </c>
      <c r="K199" s="12" t="n">
        <v>140.4641445016705</v>
      </c>
      <c r="L199" s="11" t="n">
        <v>897369.3999999999</v>
      </c>
      <c r="M199" s="12" t="n">
        <v>65.46414450167057</v>
      </c>
      <c r="N199" s="11" t="n">
        <v>2567272.533333333</v>
      </c>
      <c r="O199" s="11" t="n">
        <v>1196492.533333333</v>
      </c>
      <c r="P199" t="inlineStr">
        <is>
          <t>Above pace</t>
        </is>
      </c>
      <c r="Q199" s="11" t="n">
        <v>897369.3999999999</v>
      </c>
    </row>
    <row r="200">
      <c r="A200" t="inlineStr">
        <is>
          <t>Police</t>
        </is>
      </c>
      <c r="B200" t="inlineStr">
        <is>
          <t>General Fund</t>
        </is>
      </c>
      <c r="C200" t="inlineStr">
        <is>
          <t>Operations Support</t>
        </is>
      </c>
      <c r="D200" t="inlineStr">
        <is>
          <t>Supplies, technology &amp; equipment</t>
        </is>
      </c>
      <c r="E200" s="11" t="n">
        <v>6796531</v>
      </c>
      <c r="F200" s="11" t="n">
        <v>5994280.7</v>
      </c>
      <c r="G200" t="n">
        <v>86</v>
      </c>
      <c r="H200" s="12" t="n">
        <v>75</v>
      </c>
      <c r="I200" s="11" t="n">
        <v>5097398.25</v>
      </c>
      <c r="J200" s="11" t="n">
        <v>802250.2999999998</v>
      </c>
      <c r="K200" s="12" t="n">
        <v>88.1961797864234</v>
      </c>
      <c r="L200" s="11" t="n">
        <v>896882.4500000002</v>
      </c>
      <c r="M200" s="12" t="n">
        <v>13.1961797864234</v>
      </c>
      <c r="N200" s="11" t="n">
        <v>7992374.266666667</v>
      </c>
      <c r="O200" s="11" t="n">
        <v>1195843.266666667</v>
      </c>
      <c r="P200" t="inlineStr">
        <is>
          <t>Above pace</t>
        </is>
      </c>
      <c r="Q200" s="11" t="n">
        <v>896882.4500000002</v>
      </c>
    </row>
    <row r="201">
      <c r="A201" t="inlineStr">
        <is>
          <t>Fire</t>
        </is>
      </c>
      <c r="B201" t="inlineStr">
        <is>
          <t>General Fund</t>
        </is>
      </c>
      <c r="C201" t="inlineStr">
        <is>
          <t>Operations Support</t>
        </is>
      </c>
      <c r="D201" t="inlineStr">
        <is>
          <t>Personnel &amp; benefits</t>
        </is>
      </c>
      <c r="E201" s="11" t="n">
        <v>21524030</v>
      </c>
      <c r="F201" s="11" t="n">
        <v>17037714.97</v>
      </c>
      <c r="G201" t="n">
        <v>150</v>
      </c>
      <c r="H201" s="12" t="n">
        <v>75</v>
      </c>
      <c r="I201" s="11" t="n">
        <v>16143022.5</v>
      </c>
      <c r="J201" s="11" t="n">
        <v>4486315.030000001</v>
      </c>
      <c r="K201" s="12" t="n">
        <v>79.15671447215043</v>
      </c>
      <c r="L201" s="11" t="n">
        <v>894692.4699999988</v>
      </c>
      <c r="M201" s="12" t="n">
        <v>4.156714472150426</v>
      </c>
      <c r="N201" s="11" t="n">
        <v>22716953.29333333</v>
      </c>
      <c r="O201" s="11" t="n">
        <v>1192923.293333333</v>
      </c>
      <c r="P201" t="inlineStr">
        <is>
          <t>Near pace</t>
        </is>
      </c>
      <c r="Q201" s="11" t="n">
        <v>894692.4699999988</v>
      </c>
    </row>
    <row r="202">
      <c r="A202" t="inlineStr">
        <is>
          <t>Austin Water</t>
        </is>
      </c>
      <c r="B202" t="inlineStr">
        <is>
          <t>Austin Water Water Utility Operating Fund</t>
        </is>
      </c>
      <c r="C202" t="inlineStr">
        <is>
          <t>Transfers, Debt Service, and Other Requirements</t>
        </is>
      </c>
      <c r="D202" t="inlineStr">
        <is>
          <t>Contractual services</t>
        </is>
      </c>
      <c r="E202" s="11" t="n">
        <v>10696148</v>
      </c>
      <c r="F202" s="11" t="n">
        <v>8913456.699999999</v>
      </c>
      <c r="G202" t="n">
        <v>1</v>
      </c>
      <c r="H202" s="12" t="n">
        <v>75</v>
      </c>
      <c r="I202" s="11" t="n">
        <v>8022111</v>
      </c>
      <c r="J202" s="11" t="n">
        <v>1782691.300000001</v>
      </c>
      <c r="K202" s="12" t="n">
        <v>83.33333364497199</v>
      </c>
      <c r="L202" s="11" t="n">
        <v>891345.6999999993</v>
      </c>
      <c r="M202" s="12" t="n">
        <v>8.333333644971987</v>
      </c>
      <c r="N202" s="11" t="n">
        <v>11884608.93333333</v>
      </c>
      <c r="O202" s="11" t="n">
        <v>1188460.933333331</v>
      </c>
      <c r="P202" t="inlineStr">
        <is>
          <t>Above pace</t>
        </is>
      </c>
      <c r="Q202" s="11" t="n">
        <v>891345.6999999993</v>
      </c>
    </row>
    <row r="203">
      <c r="A203" t="inlineStr">
        <is>
          <t>Austin Public Health</t>
        </is>
      </c>
      <c r="B203" t="inlineStr">
        <is>
          <t>General Fund</t>
        </is>
      </c>
      <c r="C203" t="inlineStr">
        <is>
          <t>Transfers, Debt Service, and Other Requirements</t>
        </is>
      </c>
      <c r="D203" t="inlineStr">
        <is>
          <t>Contractual services</t>
        </is>
      </c>
      <c r="E203" s="11" t="n">
        <v>10601374</v>
      </c>
      <c r="F203" s="11" t="n">
        <v>8838451.6</v>
      </c>
      <c r="G203" t="n">
        <v>2</v>
      </c>
      <c r="H203" s="12" t="n">
        <v>75</v>
      </c>
      <c r="I203" s="11" t="n">
        <v>7951030.5</v>
      </c>
      <c r="J203" s="11" t="n">
        <v>1762922.4</v>
      </c>
      <c r="K203" s="12" t="n">
        <v>83.37081212303235</v>
      </c>
      <c r="L203" s="11" t="n">
        <v>887421.0999999996</v>
      </c>
      <c r="M203" s="12" t="n">
        <v>8.370812123032351</v>
      </c>
      <c r="N203" s="11" t="n">
        <v>11784602.13333333</v>
      </c>
      <c r="O203" s="11" t="n">
        <v>1183228.133333333</v>
      </c>
      <c r="P203" t="inlineStr">
        <is>
          <t>Above pace</t>
        </is>
      </c>
      <c r="Q203" s="11" t="n">
        <v>887421.0999999996</v>
      </c>
    </row>
    <row r="204">
      <c r="A204" t="inlineStr">
        <is>
          <t>Financial Services</t>
        </is>
      </c>
      <c r="B204" t="inlineStr">
        <is>
          <t>Support Services Fund</t>
        </is>
      </c>
      <c r="C204" t="inlineStr">
        <is>
          <t>Support Services</t>
        </is>
      </c>
      <c r="D204" t="inlineStr">
        <is>
          <t>Personnel &amp; benefits</t>
        </is>
      </c>
      <c r="E204" s="11" t="n">
        <v>4714651</v>
      </c>
      <c r="F204" s="11" t="n">
        <v>4414264.84</v>
      </c>
      <c r="G204" t="n">
        <v>67</v>
      </c>
      <c r="H204" s="12" t="n">
        <v>75</v>
      </c>
      <c r="I204" s="11" t="n">
        <v>3535988.25</v>
      </c>
      <c r="J204" s="11" t="n">
        <v>300386.1600000001</v>
      </c>
      <c r="K204" s="12" t="n">
        <v>93.62866604548248</v>
      </c>
      <c r="L204" s="11" t="n">
        <v>878276.5899999999</v>
      </c>
      <c r="M204" s="12" t="n">
        <v>18.62866604548248</v>
      </c>
      <c r="N204" s="11" t="n">
        <v>5885686.453333333</v>
      </c>
      <c r="O204" s="11" t="n">
        <v>1171035.453333333</v>
      </c>
      <c r="P204" t="inlineStr">
        <is>
          <t>Above pace</t>
        </is>
      </c>
      <c r="Q204" s="11" t="n">
        <v>878276.5899999999</v>
      </c>
    </row>
    <row r="205">
      <c r="A205" t="inlineStr">
        <is>
          <t>Building Services</t>
        </is>
      </c>
      <c r="B205" t="inlineStr">
        <is>
          <t>Support Services Fund</t>
        </is>
      </c>
      <c r="C205" t="inlineStr">
        <is>
          <t>Support Services</t>
        </is>
      </c>
      <c r="D205" t="inlineStr">
        <is>
          <t>Personnel &amp; benefits</t>
        </is>
      </c>
      <c r="E205" s="11" t="n">
        <v>2657589</v>
      </c>
      <c r="F205" s="11" t="n">
        <v>2868357.84</v>
      </c>
      <c r="G205" t="n">
        <v>29</v>
      </c>
      <c r="H205" s="12" t="n">
        <v>75</v>
      </c>
      <c r="I205" s="11" t="n">
        <v>1993191.75</v>
      </c>
      <c r="J205" s="11" t="n">
        <v>-210768.8399999999</v>
      </c>
      <c r="K205" s="12" t="n">
        <v>107.9308290333833</v>
      </c>
      <c r="L205" s="11" t="n">
        <v>875166.0899999999</v>
      </c>
      <c r="M205" s="12" t="n">
        <v>32.93082903338326</v>
      </c>
      <c r="N205" s="11" t="n">
        <v>3824477.12</v>
      </c>
      <c r="O205" s="11" t="n">
        <v>1166888.12</v>
      </c>
      <c r="P205" t="inlineStr">
        <is>
          <t>Above pace</t>
        </is>
      </c>
      <c r="Q205" s="11" t="n">
        <v>875166.0899999999</v>
      </c>
    </row>
    <row r="206">
      <c r="A206" t="inlineStr">
        <is>
          <t>Fire</t>
        </is>
      </c>
      <c r="B206" t="inlineStr">
        <is>
          <t>General Fund</t>
        </is>
      </c>
      <c r="C206" t="inlineStr">
        <is>
          <t>Support Services</t>
        </is>
      </c>
      <c r="D206" t="inlineStr">
        <is>
          <t>Contractual services</t>
        </is>
      </c>
      <c r="E206" s="11" t="n">
        <v>211385</v>
      </c>
      <c r="F206" s="11" t="n">
        <v>1030272.5</v>
      </c>
      <c r="G206" t="n">
        <v>22</v>
      </c>
      <c r="H206" s="12" t="n">
        <v>75</v>
      </c>
      <c r="I206" s="11" t="n">
        <v>158538.75</v>
      </c>
      <c r="J206" s="11" t="n">
        <v>-818887.5</v>
      </c>
      <c r="K206" s="12" t="n">
        <v>487.3914894623554</v>
      </c>
      <c r="L206" s="11" t="n">
        <v>871733.75</v>
      </c>
      <c r="M206" s="12" t="n">
        <v>412.3914894623554</v>
      </c>
      <c r="N206" s="11" t="n">
        <v>1373696.666666667</v>
      </c>
      <c r="O206" s="11" t="n">
        <v>1162311.666666667</v>
      </c>
      <c r="P206" t="inlineStr">
        <is>
          <t>Above pace</t>
        </is>
      </c>
      <c r="Q206" s="11" t="n">
        <v>871733.75</v>
      </c>
    </row>
    <row r="207">
      <c r="A207" t="inlineStr">
        <is>
          <t>Emergency Medical Services</t>
        </is>
      </c>
      <c r="B207" t="inlineStr">
        <is>
          <t>General Fund</t>
        </is>
      </c>
      <c r="C207" t="inlineStr">
        <is>
          <t>Clinical Navigation</t>
        </is>
      </c>
      <c r="D207" t="inlineStr">
        <is>
          <t>Personnel &amp; benefits</t>
        </is>
      </c>
      <c r="E207" s="11" t="n">
        <v>10263754</v>
      </c>
      <c r="F207" s="11" t="n">
        <v>6829271.08</v>
      </c>
      <c r="G207" t="n">
        <v>57</v>
      </c>
      <c r="H207" s="12" t="n">
        <v>75</v>
      </c>
      <c r="I207" s="11" t="n">
        <v>7697815.5</v>
      </c>
      <c r="J207" s="11" t="n">
        <v>3434482.92</v>
      </c>
      <c r="K207" s="12" t="n">
        <v>66.53775100221615</v>
      </c>
      <c r="L207" s="11" t="n">
        <v>-868544.4199999999</v>
      </c>
      <c r="M207" s="12" t="n">
        <v>-8.462248997783846</v>
      </c>
      <c r="N207" s="11" t="n">
        <v>9105694.773333332</v>
      </c>
      <c r="O207" s="11" t="n">
        <v>-1158059.226666667</v>
      </c>
      <c r="P207" t="inlineStr">
        <is>
          <t>Below pace</t>
        </is>
      </c>
      <c r="Q207" s="11" t="n">
        <v>868544.4199999999</v>
      </c>
    </row>
    <row r="208">
      <c r="A208" t="inlineStr">
        <is>
          <t>Development Services</t>
        </is>
      </c>
      <c r="B208" t="inlineStr">
        <is>
          <t>Austin Code Fund</t>
        </is>
      </c>
      <c r="C208" t="inlineStr">
        <is>
          <t>Transfers, Debt Service, and Other Requirements</t>
        </is>
      </c>
      <c r="D208" t="inlineStr">
        <is>
          <t>Transfers &amp; debt service</t>
        </is>
      </c>
      <c r="E208" s="11" t="n">
        <v>1180782</v>
      </c>
      <c r="F208" s="11" t="n">
        <v>21422</v>
      </c>
      <c r="G208" t="n">
        <v>2</v>
      </c>
      <c r="H208" s="12" t="n">
        <v>75</v>
      </c>
      <c r="I208" s="11" t="n">
        <v>885586.5</v>
      </c>
      <c r="J208" s="11" t="n">
        <v>1159360</v>
      </c>
      <c r="K208" s="12" t="n">
        <v>1.814221422752041</v>
      </c>
      <c r="L208" s="11" t="n">
        <v>-864164.5</v>
      </c>
      <c r="M208" s="12" t="n">
        <v>-73.18577857724796</v>
      </c>
      <c r="N208" s="11" t="n">
        <v>28562.66666666667</v>
      </c>
      <c r="O208" s="11" t="n">
        <v>-1152219.333333333</v>
      </c>
      <c r="P208" t="inlineStr">
        <is>
          <t>Below pace</t>
        </is>
      </c>
      <c r="Q208" s="11" t="n">
        <v>864164.5</v>
      </c>
    </row>
    <row r="209">
      <c r="A209" t="inlineStr">
        <is>
          <t>Human Resources</t>
        </is>
      </c>
      <c r="B209" t="inlineStr">
        <is>
          <t>Employee Benefits Fund</t>
        </is>
      </c>
      <c r="C209" t="inlineStr">
        <is>
          <t>Employee Optional Benefit Coverage</t>
        </is>
      </c>
      <c r="D209" t="inlineStr">
        <is>
          <t>Supplies, technology &amp; equipment</t>
        </is>
      </c>
      <c r="E209" s="11" t="n">
        <v>6905589</v>
      </c>
      <c r="F209" s="11" t="n">
        <v>6029270.7</v>
      </c>
      <c r="G209" t="n">
        <v>1</v>
      </c>
      <c r="H209" s="12" t="n">
        <v>75</v>
      </c>
      <c r="I209" s="11" t="n">
        <v>5179191.75</v>
      </c>
      <c r="J209" s="11" t="n">
        <v>876318.2999999998</v>
      </c>
      <c r="K209" s="12" t="n">
        <v>87.31001367153475</v>
      </c>
      <c r="L209" s="11" t="n">
        <v>850078.9500000002</v>
      </c>
      <c r="M209" s="12" t="n">
        <v>12.31001367153475</v>
      </c>
      <c r="N209" s="11" t="n">
        <v>8039027.600000001</v>
      </c>
      <c r="O209" s="11" t="n">
        <v>1133438.600000001</v>
      </c>
      <c r="P209" t="inlineStr">
        <is>
          <t>Above pace</t>
        </is>
      </c>
      <c r="Q209" s="11" t="n">
        <v>850078.9500000002</v>
      </c>
    </row>
    <row r="210">
      <c r="A210" t="inlineStr">
        <is>
          <t>Austin Public Health</t>
        </is>
      </c>
      <c r="B210" t="inlineStr">
        <is>
          <t>1115 Medicaid Waiver</t>
        </is>
      </c>
      <c r="C210" t="inlineStr">
        <is>
          <t>Support Services</t>
        </is>
      </c>
      <c r="D210" t="inlineStr">
        <is>
          <t>Personnel &amp; benefits</t>
        </is>
      </c>
      <c r="E210" s="11" t="n">
        <v>1132733.24</v>
      </c>
      <c r="F210" s="11" t="n">
        <v>0</v>
      </c>
      <c r="G210" t="n">
        <v>3</v>
      </c>
      <c r="H210" s="12" t="n">
        <v>75</v>
      </c>
      <c r="I210" s="11" t="n">
        <v>849549.9299999999</v>
      </c>
      <c r="J210" s="11" t="n">
        <v>1132733.24</v>
      </c>
      <c r="K210" s="12" t="n">
        <v>0</v>
      </c>
      <c r="L210" s="11" t="n">
        <v>-849549.9299999999</v>
      </c>
      <c r="M210" s="12" t="n">
        <v>-75</v>
      </c>
      <c r="N210" s="11" t="n">
        <v>0</v>
      </c>
      <c r="O210" s="11" t="n">
        <v>-1132733.24</v>
      </c>
      <c r="P210" t="inlineStr">
        <is>
          <t>Below pace</t>
        </is>
      </c>
      <c r="Q210" s="11" t="n">
        <v>849549.9299999999</v>
      </c>
    </row>
    <row r="211">
      <c r="A211" t="inlineStr">
        <is>
          <t>Austin Energy</t>
        </is>
      </c>
      <c r="B211" t="inlineStr">
        <is>
          <t>Austin Energy Fund</t>
        </is>
      </c>
      <c r="C211" t="inlineStr">
        <is>
          <t>Customer Energy Solutions</t>
        </is>
      </c>
      <c r="D211" t="inlineStr">
        <is>
          <t>Personnel &amp; benefits</t>
        </is>
      </c>
      <c r="E211" s="11" t="n">
        <v>10764666</v>
      </c>
      <c r="F211" s="11" t="n">
        <v>8920097.76</v>
      </c>
      <c r="G211" t="n">
        <v>120</v>
      </c>
      <c r="H211" s="12" t="n">
        <v>75</v>
      </c>
      <c r="I211" s="11" t="n">
        <v>8073499.5</v>
      </c>
      <c r="J211" s="11" t="n">
        <v>1844568.24</v>
      </c>
      <c r="K211" s="12" t="n">
        <v>82.86460313770999</v>
      </c>
      <c r="L211" s="11" t="n">
        <v>846598.2599999998</v>
      </c>
      <c r="M211" s="12" t="n">
        <v>7.864603137709992</v>
      </c>
      <c r="N211" s="11" t="n">
        <v>11893463.68</v>
      </c>
      <c r="O211" s="11" t="n">
        <v>1128797.68</v>
      </c>
      <c r="P211" t="inlineStr">
        <is>
          <t>Above pace</t>
        </is>
      </c>
      <c r="Q211" s="11" t="n">
        <v>846598.2599999998</v>
      </c>
    </row>
    <row r="212">
      <c r="A212" t="inlineStr">
        <is>
          <t>Watershed Protection</t>
        </is>
      </c>
      <c r="B212" t="inlineStr">
        <is>
          <t>Drainage Utility Fund</t>
        </is>
      </c>
      <c r="C212" t="inlineStr">
        <is>
          <t>Transfers, Debt Service, and Other Requirements</t>
        </is>
      </c>
      <c r="D212" t="inlineStr">
        <is>
          <t>Other operating costs</t>
        </is>
      </c>
      <c r="E212" s="11" t="n">
        <v>10010517</v>
      </c>
      <c r="F212" s="11" t="n">
        <v>8354093.6</v>
      </c>
      <c r="G212" t="n">
        <v>12</v>
      </c>
      <c r="H212" s="12" t="n">
        <v>75</v>
      </c>
      <c r="I212" s="11" t="n">
        <v>7507887.75</v>
      </c>
      <c r="J212" s="11" t="n">
        <v>1656423.4</v>
      </c>
      <c r="K212" s="12" t="n">
        <v>83.45316830289585</v>
      </c>
      <c r="L212" s="11" t="n">
        <v>846205.8499999996</v>
      </c>
      <c r="M212" s="12" t="n">
        <v>8.453168302895847</v>
      </c>
      <c r="N212" s="11" t="n">
        <v>11138791.46666667</v>
      </c>
      <c r="O212" s="11" t="n">
        <v>1128274.466666667</v>
      </c>
      <c r="P212" t="inlineStr">
        <is>
          <t>Above pace</t>
        </is>
      </c>
      <c r="Q212" s="11" t="n">
        <v>846205.8499999996</v>
      </c>
    </row>
    <row r="213">
      <c r="A213" t="inlineStr">
        <is>
          <t>Building Services</t>
        </is>
      </c>
      <c r="B213" t="inlineStr">
        <is>
          <t>Support Services Fund</t>
        </is>
      </c>
      <c r="C213" t="inlineStr">
        <is>
          <t>Facility Maintenance</t>
        </is>
      </c>
      <c r="D213" t="inlineStr">
        <is>
          <t>Other operating costs</t>
        </is>
      </c>
      <c r="E213" s="11" t="n">
        <v>846691</v>
      </c>
      <c r="F213" s="11" t="n">
        <v>1475372.31</v>
      </c>
      <c r="G213" t="n">
        <v>107</v>
      </c>
      <c r="H213" s="12" t="n">
        <v>75</v>
      </c>
      <c r="I213" s="11" t="n">
        <v>635018.25</v>
      </c>
      <c r="J213" s="11" t="n">
        <v>-628681.3100000001</v>
      </c>
      <c r="K213" s="12" t="n">
        <v>174.2515640298527</v>
      </c>
      <c r="L213" s="11" t="n">
        <v>840354.0600000001</v>
      </c>
      <c r="M213" s="12" t="n">
        <v>99.25156402985267</v>
      </c>
      <c r="N213" s="11" t="n">
        <v>1967163.08</v>
      </c>
      <c r="O213" s="11" t="n">
        <v>1120472.08</v>
      </c>
      <c r="P213" t="inlineStr">
        <is>
          <t>Above pace</t>
        </is>
      </c>
      <c r="Q213" s="11" t="n">
        <v>840354.0600000001</v>
      </c>
    </row>
    <row r="214">
      <c r="A214" t="inlineStr">
        <is>
          <t>Austin Water</t>
        </is>
      </c>
      <c r="B214" t="inlineStr">
        <is>
          <t>Austin Water Wastewater Utility Operating Fund</t>
        </is>
      </c>
      <c r="C214" t="inlineStr">
        <is>
          <t>Engineering and Technical Services</t>
        </is>
      </c>
      <c r="D214" t="inlineStr">
        <is>
          <t>Other operating costs</t>
        </is>
      </c>
      <c r="E214" s="11" t="n">
        <v>4223705</v>
      </c>
      <c r="F214" s="11" t="n">
        <v>2330209.01</v>
      </c>
      <c r="G214" t="n">
        <v>187</v>
      </c>
      <c r="H214" s="12" t="n">
        <v>75</v>
      </c>
      <c r="I214" s="11" t="n">
        <v>3167778.75</v>
      </c>
      <c r="J214" s="11" t="n">
        <v>1893495.99</v>
      </c>
      <c r="K214" s="12" t="n">
        <v>55.16978600541469</v>
      </c>
      <c r="L214" s="11" t="n">
        <v>-837569.7399999998</v>
      </c>
      <c r="M214" s="12" t="n">
        <v>-19.83021399458532</v>
      </c>
      <c r="N214" s="11" t="n">
        <v>3106945.346666667</v>
      </c>
      <c r="O214" s="11" t="n">
        <v>-1116759.653333333</v>
      </c>
      <c r="P214" t="inlineStr">
        <is>
          <t>Below pace</t>
        </is>
      </c>
      <c r="Q214" s="11" t="n">
        <v>837569.7399999998</v>
      </c>
    </row>
    <row r="215">
      <c r="A215" t="inlineStr">
        <is>
          <t>Parks &amp; Recreation</t>
        </is>
      </c>
      <c r="B215" t="inlineStr">
        <is>
          <t>General Fund</t>
        </is>
      </c>
      <c r="C215" t="inlineStr">
        <is>
          <t>Community Services</t>
        </is>
      </c>
      <c r="D215" t="inlineStr">
        <is>
          <t>Other operating costs</t>
        </is>
      </c>
      <c r="E215" s="11" t="n">
        <v>5948547.4</v>
      </c>
      <c r="F215" s="11" t="n">
        <v>5295187.01</v>
      </c>
      <c r="G215" t="n">
        <v>1772</v>
      </c>
      <c r="H215" s="12" t="n">
        <v>75</v>
      </c>
      <c r="I215" s="11" t="n">
        <v>4461410.550000001</v>
      </c>
      <c r="J215" s="11" t="n">
        <v>653360.3900000006</v>
      </c>
      <c r="K215" s="12" t="n">
        <v>89.01647165154975</v>
      </c>
      <c r="L215" s="11" t="n">
        <v>833776.459999999</v>
      </c>
      <c r="M215" s="12" t="n">
        <v>14.01647165154975</v>
      </c>
      <c r="N215" s="11" t="n">
        <v>7060249.346666667</v>
      </c>
      <c r="O215" s="11" t="n">
        <v>1111701.946666666</v>
      </c>
      <c r="P215" t="inlineStr">
        <is>
          <t>Above pace</t>
        </is>
      </c>
      <c r="Q215" s="11" t="n">
        <v>833776.459999999</v>
      </c>
    </row>
    <row r="216">
      <c r="A216" t="inlineStr">
        <is>
          <t>Public Works</t>
        </is>
      </c>
      <c r="B216" t="inlineStr">
        <is>
          <t>Transportation Fund</t>
        </is>
      </c>
      <c r="C216" t="inlineStr">
        <is>
          <t>Transportation Engineering</t>
        </is>
      </c>
      <c r="D216" t="inlineStr">
        <is>
          <t>Personnel &amp; benefits</t>
        </is>
      </c>
      <c r="E216" s="11" t="n">
        <v>9102082</v>
      </c>
      <c r="F216" s="11" t="n">
        <v>7646205.74</v>
      </c>
      <c r="G216" t="n">
        <v>61</v>
      </c>
      <c r="H216" s="12" t="n">
        <v>75</v>
      </c>
      <c r="I216" s="11" t="n">
        <v>6826561.5</v>
      </c>
      <c r="J216" s="11" t="n">
        <v>1455876.26</v>
      </c>
      <c r="K216" s="12" t="n">
        <v>84.00501929119073</v>
      </c>
      <c r="L216" s="11" t="n">
        <v>819644.2400000002</v>
      </c>
      <c r="M216" s="12" t="n">
        <v>9.005019291190735</v>
      </c>
      <c r="N216" s="11" t="n">
        <v>10194940.98666667</v>
      </c>
      <c r="O216" s="11" t="n">
        <v>1092858.986666666</v>
      </c>
      <c r="P216" t="inlineStr">
        <is>
          <t>Above pace</t>
        </is>
      </c>
      <c r="Q216" s="11" t="n">
        <v>819644.2400000002</v>
      </c>
    </row>
    <row r="217">
      <c r="A217" t="inlineStr">
        <is>
          <t>Public Works</t>
        </is>
      </c>
      <c r="B217" t="inlineStr">
        <is>
          <t>Transportation Fund</t>
        </is>
      </c>
      <c r="C217" t="inlineStr">
        <is>
          <t>Street Preventive Maintenance</t>
        </is>
      </c>
      <c r="D217" t="inlineStr">
        <is>
          <t>Personnel &amp; benefits</t>
        </is>
      </c>
      <c r="E217" s="11" t="n">
        <v>6763543</v>
      </c>
      <c r="F217" s="11" t="n">
        <v>5886199.84</v>
      </c>
      <c r="G217" t="n">
        <v>29</v>
      </c>
      <c r="H217" s="12" t="n">
        <v>75</v>
      </c>
      <c r="I217" s="11" t="n">
        <v>5072657.25</v>
      </c>
      <c r="J217" s="11" t="n">
        <v>877343.1600000001</v>
      </c>
      <c r="K217" s="12" t="n">
        <v>87.02834949079202</v>
      </c>
      <c r="L217" s="11" t="n">
        <v>813542.5899999999</v>
      </c>
      <c r="M217" s="12" t="n">
        <v>12.02834949079202</v>
      </c>
      <c r="N217" s="11" t="n">
        <v>7848266.453333333</v>
      </c>
      <c r="O217" s="11" t="n">
        <v>1084723.453333333</v>
      </c>
      <c r="P217" t="inlineStr">
        <is>
          <t>Above pace</t>
        </is>
      </c>
      <c r="Q217" s="11" t="n">
        <v>813542.5899999999</v>
      </c>
    </row>
    <row r="218">
      <c r="A218" t="inlineStr">
        <is>
          <t>Public Works</t>
        </is>
      </c>
      <c r="B218" t="inlineStr">
        <is>
          <t>Capital Projects Management Fund</t>
        </is>
      </c>
      <c r="C218" t="inlineStr">
        <is>
          <t>Project Delivery Support</t>
        </is>
      </c>
      <c r="D218" t="inlineStr">
        <is>
          <t>Contractual services</t>
        </is>
      </c>
      <c r="E218" s="11" t="n">
        <v>1084488</v>
      </c>
      <c r="F218" s="11" t="n">
        <v>783</v>
      </c>
      <c r="G218" t="n">
        <v>8</v>
      </c>
      <c r="H218" s="12" t="n">
        <v>75</v>
      </c>
      <c r="I218" s="11" t="n">
        <v>813366</v>
      </c>
      <c r="J218" s="11" t="n">
        <v>1083705</v>
      </c>
      <c r="K218" s="12" t="n">
        <v>0.0721999690176378</v>
      </c>
      <c r="L218" s="11" t="n">
        <v>-812583</v>
      </c>
      <c r="M218" s="12" t="n">
        <v>-74.92780003098237</v>
      </c>
      <c r="N218" s="11" t="n">
        <v>1044</v>
      </c>
      <c r="O218" s="11" t="n">
        <v>-1083444</v>
      </c>
      <c r="P218" t="inlineStr">
        <is>
          <t>Below pace</t>
        </is>
      </c>
      <c r="Q218" s="11" t="n">
        <v>812583</v>
      </c>
    </row>
    <row r="219">
      <c r="A219" t="inlineStr">
        <is>
          <t>Public Works</t>
        </is>
      </c>
      <c r="B219" t="inlineStr">
        <is>
          <t>Capital Projects Management Fund</t>
        </is>
      </c>
      <c r="C219" t="inlineStr">
        <is>
          <t>Business Enterprises</t>
        </is>
      </c>
      <c r="D219" t="inlineStr">
        <is>
          <t>Other operating costs</t>
        </is>
      </c>
      <c r="E219" s="11" t="n">
        <v>1540674</v>
      </c>
      <c r="F219" s="11" t="n">
        <v>351363.91</v>
      </c>
      <c r="G219" t="n">
        <v>127</v>
      </c>
      <c r="H219" s="12" t="n">
        <v>75</v>
      </c>
      <c r="I219" s="11" t="n">
        <v>1155505.5</v>
      </c>
      <c r="J219" s="11" t="n">
        <v>1189310.09</v>
      </c>
      <c r="K219" s="12" t="n">
        <v>22.80585704698074</v>
      </c>
      <c r="L219" s="11" t="n">
        <v>-804141.5900000001</v>
      </c>
      <c r="M219" s="12" t="n">
        <v>-52.19414295301927</v>
      </c>
      <c r="N219" s="11" t="n">
        <v>468485.2133333333</v>
      </c>
      <c r="O219" s="11" t="n">
        <v>-1072188.786666667</v>
      </c>
      <c r="P219" t="inlineStr">
        <is>
          <t>Below pace</t>
        </is>
      </c>
      <c r="Q219" s="11" t="n">
        <v>804141.5900000001</v>
      </c>
    </row>
    <row r="220">
      <c r="A220" t="inlineStr">
        <is>
          <t>Human Resources</t>
        </is>
      </c>
      <c r="B220" t="inlineStr">
        <is>
          <t>Employee Benefits Fund</t>
        </is>
      </c>
      <c r="C220" t="inlineStr">
        <is>
          <t>City-Funded Benefits</t>
        </is>
      </c>
      <c r="D220" t="inlineStr">
        <is>
          <t>Other operating costs</t>
        </is>
      </c>
      <c r="E220" s="11" t="n">
        <v>4818243</v>
      </c>
      <c r="F220" s="11" t="n">
        <v>4417603.3</v>
      </c>
      <c r="G220" t="n">
        <v>4</v>
      </c>
      <c r="H220" s="12" t="n">
        <v>75</v>
      </c>
      <c r="I220" s="11" t="n">
        <v>3613682.25</v>
      </c>
      <c r="J220" s="11" t="n">
        <v>400639.7000000002</v>
      </c>
      <c r="K220" s="12" t="n">
        <v>91.68494200064214</v>
      </c>
      <c r="L220" s="11" t="n">
        <v>803921.0499999998</v>
      </c>
      <c r="M220" s="12" t="n">
        <v>16.68494200064214</v>
      </c>
      <c r="N220" s="11" t="n">
        <v>5890137.733333333</v>
      </c>
      <c r="O220" s="11" t="n">
        <v>1071894.733333333</v>
      </c>
      <c r="P220" t="inlineStr">
        <is>
          <t>Above pace</t>
        </is>
      </c>
      <c r="Q220" s="11" t="n">
        <v>803921.0499999998</v>
      </c>
    </row>
    <row r="221">
      <c r="A221" t="inlineStr">
        <is>
          <t>Emergency Medical Services</t>
        </is>
      </c>
      <c r="B221" t="inlineStr">
        <is>
          <t>General Fund</t>
        </is>
      </c>
      <c r="C221" t="inlineStr">
        <is>
          <t>Transfers, Debt Service, and Other Requirements</t>
        </is>
      </c>
      <c r="D221" t="inlineStr">
        <is>
          <t>Contractual services</t>
        </is>
      </c>
      <c r="E221" s="11" t="n">
        <v>9583772</v>
      </c>
      <c r="F221" s="11" t="n">
        <v>7990068.6</v>
      </c>
      <c r="G221" t="n">
        <v>1</v>
      </c>
      <c r="H221" s="12" t="n">
        <v>75</v>
      </c>
      <c r="I221" s="11" t="n">
        <v>7187829</v>
      </c>
      <c r="J221" s="11" t="n">
        <v>1593703.4</v>
      </c>
      <c r="K221" s="12" t="n">
        <v>83.3708126612361</v>
      </c>
      <c r="L221" s="11" t="n">
        <v>802239.5999999996</v>
      </c>
      <c r="M221" s="12" t="n">
        <v>8.370812661236101</v>
      </c>
      <c r="N221" s="11" t="n">
        <v>10653424.8</v>
      </c>
      <c r="O221" s="11" t="n">
        <v>1069652.799999999</v>
      </c>
      <c r="P221" t="inlineStr">
        <is>
          <t>Above pace</t>
        </is>
      </c>
      <c r="Q221" s="11" t="n">
        <v>802239.5999999996</v>
      </c>
    </row>
    <row r="222">
      <c r="A222" t="inlineStr">
        <is>
          <t>Austin Energy</t>
        </is>
      </c>
      <c r="B222" t="inlineStr">
        <is>
          <t>Austin Energy Fund</t>
        </is>
      </c>
      <c r="C222" t="inlineStr">
        <is>
          <t>Customer Energy Solutions</t>
        </is>
      </c>
      <c r="D222" t="inlineStr">
        <is>
          <t>Grants &amp; contributions</t>
        </is>
      </c>
      <c r="E222" s="11" t="n">
        <v>10860000</v>
      </c>
      <c r="F222" s="11" t="n">
        <v>7347496.869999999</v>
      </c>
      <c r="G222" t="n">
        <v>12</v>
      </c>
      <c r="H222" s="12" t="n">
        <v>75</v>
      </c>
      <c r="I222" s="11" t="n">
        <v>8145000</v>
      </c>
      <c r="J222" s="11" t="n">
        <v>3512503.130000001</v>
      </c>
      <c r="K222" s="12" t="n">
        <v>67.65650893186003</v>
      </c>
      <c r="L222" s="11" t="n">
        <v>-797503.1300000008</v>
      </c>
      <c r="M222" s="12" t="n">
        <v>-7.343491068139968</v>
      </c>
      <c r="N222" s="11" t="n">
        <v>9796662.493333332</v>
      </c>
      <c r="O222" s="11" t="n">
        <v>-1063337.506666668</v>
      </c>
      <c r="P222" t="inlineStr">
        <is>
          <t>Below pace</t>
        </is>
      </c>
      <c r="Q222" s="11" t="n">
        <v>797503.1300000008</v>
      </c>
    </row>
    <row r="223">
      <c r="A223" t="inlineStr">
        <is>
          <t>Fire</t>
        </is>
      </c>
      <c r="B223" t="inlineStr">
        <is>
          <t>General Fund</t>
        </is>
      </c>
      <c r="C223" t="inlineStr">
        <is>
          <t>Support Services</t>
        </is>
      </c>
      <c r="D223" t="inlineStr">
        <is>
          <t>Personnel &amp; benefits</t>
        </is>
      </c>
      <c r="E223" s="11" t="n">
        <v>7534660</v>
      </c>
      <c r="F223" s="11" t="n">
        <v>6437876.03</v>
      </c>
      <c r="G223" t="n">
        <v>71</v>
      </c>
      <c r="H223" s="12" t="n">
        <v>75</v>
      </c>
      <c r="I223" s="11" t="n">
        <v>5650995</v>
      </c>
      <c r="J223" s="11" t="n">
        <v>1096783.97</v>
      </c>
      <c r="K223" s="12" t="n">
        <v>85.44348424480998</v>
      </c>
      <c r="L223" s="11" t="n">
        <v>786881.0300000003</v>
      </c>
      <c r="M223" s="12" t="n">
        <v>10.44348424480998</v>
      </c>
      <c r="N223" s="11" t="n">
        <v>8583834.706666667</v>
      </c>
      <c r="O223" s="11" t="n">
        <v>1049174.706666667</v>
      </c>
      <c r="P223" t="inlineStr">
        <is>
          <t>Above pace</t>
        </is>
      </c>
      <c r="Q223" s="11" t="n">
        <v>786881.0300000003</v>
      </c>
    </row>
    <row r="224">
      <c r="A224" t="inlineStr">
        <is>
          <t>Office of Arts, Culture, Music and Entertainment</t>
        </is>
      </c>
      <c r="B224" t="inlineStr">
        <is>
          <t>General Fund</t>
        </is>
      </c>
      <c r="C224" t="inlineStr">
        <is>
          <t>Cultural Education and Heritage Preservation</t>
        </is>
      </c>
      <c r="D224" t="inlineStr">
        <is>
          <t>Contractual services</t>
        </is>
      </c>
      <c r="E224" s="11" t="n">
        <v>2686578</v>
      </c>
      <c r="F224" s="11" t="n">
        <v>1244005.96</v>
      </c>
      <c r="G224" t="n">
        <v>97</v>
      </c>
      <c r="H224" s="12" t="n">
        <v>75</v>
      </c>
      <c r="I224" s="11" t="n">
        <v>2014933.5</v>
      </c>
      <c r="J224" s="11" t="n">
        <v>1442572.04</v>
      </c>
      <c r="K224" s="12" t="n">
        <v>46.30447952748813</v>
      </c>
      <c r="L224" s="11" t="n">
        <v>-770927.54</v>
      </c>
      <c r="M224" s="12" t="n">
        <v>-28.69552047251188</v>
      </c>
      <c r="N224" s="11" t="n">
        <v>1658674.613333333</v>
      </c>
      <c r="O224" s="11" t="n">
        <v>-1027903.386666667</v>
      </c>
      <c r="P224" t="inlineStr">
        <is>
          <t>Below pace</t>
        </is>
      </c>
      <c r="Q224" s="11" t="n">
        <v>770927.54</v>
      </c>
    </row>
    <row r="225">
      <c r="A225" t="inlineStr">
        <is>
          <t>Management Services</t>
        </is>
      </c>
      <c r="B225" t="inlineStr">
        <is>
          <t>Support Services Fund</t>
        </is>
      </c>
      <c r="C225" t="inlineStr">
        <is>
          <t>Climate Action and Resilience</t>
        </is>
      </c>
      <c r="D225" t="inlineStr">
        <is>
          <t>Other operating costs</t>
        </is>
      </c>
      <c r="E225" s="11" t="n">
        <v>-1362251</v>
      </c>
      <c r="F225" s="11" t="n">
        <v>-255893.07</v>
      </c>
      <c r="G225" t="n">
        <v>76</v>
      </c>
      <c r="H225" s="12" t="n">
        <v>75</v>
      </c>
      <c r="I225" s="11" t="n">
        <v>-1021688.25</v>
      </c>
      <c r="J225" s="11" t="n">
        <v>-1106357.93</v>
      </c>
      <c r="K225" s="12" t="n">
        <v>18.78457567658236</v>
      </c>
      <c r="L225" s="11" t="n">
        <v>765795.1799999999</v>
      </c>
      <c r="M225" s="12" t="n">
        <v>-56.21542432341764</v>
      </c>
      <c r="N225" s="11" t="n">
        <v>-341190.76</v>
      </c>
      <c r="O225" s="11" t="n">
        <v>1021060.24</v>
      </c>
      <c r="P225" t="inlineStr">
        <is>
          <t>Review: non-positive budget</t>
        </is>
      </c>
      <c r="Q225" s="11" t="n">
        <v>765795.1799999999</v>
      </c>
    </row>
    <row r="226">
      <c r="A226" t="inlineStr">
        <is>
          <t>Austin Public Library</t>
        </is>
      </c>
      <c r="B226" t="inlineStr">
        <is>
          <t>Library Facilities Maintenance and Improvements</t>
        </is>
      </c>
      <c r="C226" t="inlineStr">
        <is>
          <t>Support Services</t>
        </is>
      </c>
      <c r="D226" t="inlineStr">
        <is>
          <t>Contractual services</t>
        </is>
      </c>
      <c r="E226" s="11" t="n">
        <v>1248400</v>
      </c>
      <c r="F226" s="11" t="n">
        <v>170597.27</v>
      </c>
      <c r="G226" t="n">
        <v>9</v>
      </c>
      <c r="H226" s="12" t="n">
        <v>75</v>
      </c>
      <c r="I226" s="11" t="n">
        <v>936300</v>
      </c>
      <c r="J226" s="11" t="n">
        <v>1077802.73</v>
      </c>
      <c r="K226" s="12" t="n">
        <v>13.66527314963153</v>
      </c>
      <c r="L226" s="11" t="n">
        <v>-765702.73</v>
      </c>
      <c r="M226" s="12" t="n">
        <v>-61.33472685036847</v>
      </c>
      <c r="N226" s="11" t="n">
        <v>227463.0266666666</v>
      </c>
      <c r="O226" s="11" t="n">
        <v>-1020936.973333333</v>
      </c>
      <c r="P226" t="inlineStr">
        <is>
          <t>Below pace</t>
        </is>
      </c>
      <c r="Q226" s="11" t="n">
        <v>765702.73</v>
      </c>
    </row>
    <row r="227">
      <c r="A227" t="inlineStr">
        <is>
          <t>Parks &amp; Recreation</t>
        </is>
      </c>
      <c r="B227" t="inlineStr">
        <is>
          <t>General Fund</t>
        </is>
      </c>
      <c r="C227" t="inlineStr">
        <is>
          <t>Transfers, Debt Service, and Other Requirements</t>
        </is>
      </c>
      <c r="D227" t="inlineStr">
        <is>
          <t>Contractual services</t>
        </is>
      </c>
      <c r="E227" s="11" t="n">
        <v>9112974</v>
      </c>
      <c r="F227" s="11" t="n">
        <v>7597560.4</v>
      </c>
      <c r="G227" t="n">
        <v>1</v>
      </c>
      <c r="H227" s="12" t="n">
        <v>75</v>
      </c>
      <c r="I227" s="11" t="n">
        <v>6834730.5</v>
      </c>
      <c r="J227" s="11" t="n">
        <v>1515413.6</v>
      </c>
      <c r="K227" s="12" t="n">
        <v>83.3708117679256</v>
      </c>
      <c r="L227" s="11" t="n">
        <v>762829.9000000004</v>
      </c>
      <c r="M227" s="12" t="n">
        <v>8.370811767925602</v>
      </c>
      <c r="N227" s="11" t="n">
        <v>10130080.53333333</v>
      </c>
      <c r="O227" s="11" t="n">
        <v>1017106.533333333</v>
      </c>
      <c r="P227" t="inlineStr">
        <is>
          <t>Above pace</t>
        </is>
      </c>
      <c r="Q227" s="11" t="n">
        <v>762829.9000000004</v>
      </c>
    </row>
    <row r="228">
      <c r="A228" t="inlineStr">
        <is>
          <t>Financial Services</t>
        </is>
      </c>
      <c r="B228" t="inlineStr">
        <is>
          <t>Estancia Hill Country Public Improvement District Fund</t>
        </is>
      </c>
      <c r="C228" t="inlineStr">
        <is>
          <t>Public Improvement District</t>
        </is>
      </c>
      <c r="D228" t="inlineStr">
        <is>
          <t>Contractual services</t>
        </is>
      </c>
      <c r="E228" s="11" t="n">
        <v>2505565</v>
      </c>
      <c r="F228" s="11" t="n">
        <v>2641039.18</v>
      </c>
      <c r="G228" t="n">
        <v>4</v>
      </c>
      <c r="H228" s="12" t="n">
        <v>75</v>
      </c>
      <c r="I228" s="11" t="n">
        <v>1879173.75</v>
      </c>
      <c r="J228" s="11" t="n">
        <v>-135474.1800000002</v>
      </c>
      <c r="K228" s="12" t="n">
        <v>105.4069313707687</v>
      </c>
      <c r="L228" s="11" t="n">
        <v>761865.4300000002</v>
      </c>
      <c r="M228" s="12" t="n">
        <v>30.40693137076867</v>
      </c>
      <c r="N228" s="11" t="n">
        <v>3521385.573333334</v>
      </c>
      <c r="O228" s="11" t="n">
        <v>1015820.573333334</v>
      </c>
      <c r="P228" t="inlineStr">
        <is>
          <t>Above pace</t>
        </is>
      </c>
      <c r="Q228" s="11" t="n">
        <v>761865.4300000002</v>
      </c>
    </row>
    <row r="229">
      <c r="A229" t="inlineStr">
        <is>
          <t>Austin Water</t>
        </is>
      </c>
      <c r="B229" t="inlineStr">
        <is>
          <t>Austin Water Water Utility Operating Fund</t>
        </is>
      </c>
      <c r="C229" t="inlineStr">
        <is>
          <t>Operations</t>
        </is>
      </c>
      <c r="D229" t="inlineStr">
        <is>
          <t>Supplies, technology &amp; equipment</t>
        </is>
      </c>
      <c r="E229" s="11" t="n">
        <v>5534248</v>
      </c>
      <c r="F229" s="11" t="n">
        <v>3392532.96</v>
      </c>
      <c r="G229" t="n">
        <v>258</v>
      </c>
      <c r="H229" s="12" t="n">
        <v>75</v>
      </c>
      <c r="I229" s="11" t="n">
        <v>4150686</v>
      </c>
      <c r="J229" s="11" t="n">
        <v>2141715.04</v>
      </c>
      <c r="K229" s="12" t="n">
        <v>61.30070354635355</v>
      </c>
      <c r="L229" s="11" t="n">
        <v>-758153.04</v>
      </c>
      <c r="M229" s="12" t="n">
        <v>-13.69929645364645</v>
      </c>
      <c r="N229" s="11" t="n">
        <v>4523377.28</v>
      </c>
      <c r="O229" s="11" t="n">
        <v>-1010870.72</v>
      </c>
      <c r="P229" t="inlineStr">
        <is>
          <t>Below pace</t>
        </is>
      </c>
      <c r="Q229" s="11" t="n">
        <v>758153.04</v>
      </c>
    </row>
    <row r="230">
      <c r="A230" t="inlineStr">
        <is>
          <t>Financial Services</t>
        </is>
      </c>
      <c r="B230" t="inlineStr">
        <is>
          <t>Support Services Fund</t>
        </is>
      </c>
      <c r="C230" t="inlineStr">
        <is>
          <t>Accounting and Reporting</t>
        </is>
      </c>
      <c r="D230" t="inlineStr">
        <is>
          <t>Personnel &amp; benefits</t>
        </is>
      </c>
      <c r="E230" s="11" t="n">
        <v>8990697</v>
      </c>
      <c r="F230" s="11" t="n">
        <v>7500768.37</v>
      </c>
      <c r="G230" t="n">
        <v>56</v>
      </c>
      <c r="H230" s="12" t="n">
        <v>75</v>
      </c>
      <c r="I230" s="11" t="n">
        <v>6743022.75</v>
      </c>
      <c r="J230" s="11" t="n">
        <v>1489928.63</v>
      </c>
      <c r="K230" s="12" t="n">
        <v>83.42810763169975</v>
      </c>
      <c r="L230" s="11" t="n">
        <v>757745.6200000001</v>
      </c>
      <c r="M230" s="12" t="n">
        <v>8.428107631699746</v>
      </c>
      <c r="N230" s="11" t="n">
        <v>10001024.49333333</v>
      </c>
      <c r="O230" s="11" t="n">
        <v>1010327.493333334</v>
      </c>
      <c r="P230" t="inlineStr">
        <is>
          <t>Above pace</t>
        </is>
      </c>
      <c r="Q230" s="11" t="n">
        <v>757745.6200000001</v>
      </c>
    </row>
    <row r="231">
      <c r="A231" t="inlineStr">
        <is>
          <t>Public Works</t>
        </is>
      </c>
      <c r="B231" t="inlineStr">
        <is>
          <t>Transportation Fund</t>
        </is>
      </c>
      <c r="C231" t="inlineStr">
        <is>
          <t>Transfers, Debt Service, and Other Requirements</t>
        </is>
      </c>
      <c r="D231" t="inlineStr">
        <is>
          <t>Transfers &amp; debt service</t>
        </is>
      </c>
      <c r="E231" s="11" t="n">
        <v>10247228</v>
      </c>
      <c r="F231" s="11" t="n">
        <v>8428498.49</v>
      </c>
      <c r="G231" t="n">
        <v>9</v>
      </c>
      <c r="H231" s="12" t="n">
        <v>75</v>
      </c>
      <c r="I231" s="11" t="n">
        <v>7685421</v>
      </c>
      <c r="J231" s="11" t="n">
        <v>1818729.51</v>
      </c>
      <c r="K231" s="12" t="n">
        <v>82.25149757573463</v>
      </c>
      <c r="L231" s="11" t="n">
        <v>743077.4900000002</v>
      </c>
      <c r="M231" s="12" t="n">
        <v>7.251497575734632</v>
      </c>
      <c r="N231" s="11" t="n">
        <v>11237997.98666667</v>
      </c>
      <c r="O231" s="11" t="n">
        <v>990769.9866666663</v>
      </c>
      <c r="P231" t="inlineStr">
        <is>
          <t>Above pace</t>
        </is>
      </c>
      <c r="Q231" s="11" t="n">
        <v>743077.4900000002</v>
      </c>
    </row>
    <row r="232">
      <c r="A232" t="inlineStr">
        <is>
          <t>Watershed Protection</t>
        </is>
      </c>
      <c r="B232" t="inlineStr">
        <is>
          <t>Drainage Utility Fund</t>
        </is>
      </c>
      <c r="C232" t="inlineStr">
        <is>
          <t>Support Services</t>
        </is>
      </c>
      <c r="D232" t="inlineStr">
        <is>
          <t>Personnel &amp; benefits</t>
        </is>
      </c>
      <c r="E232" s="11" t="n">
        <v>12831817</v>
      </c>
      <c r="F232" s="11" t="n">
        <v>10366604.79</v>
      </c>
      <c r="G232" t="n">
        <v>119</v>
      </c>
      <c r="H232" s="12" t="n">
        <v>75</v>
      </c>
      <c r="I232" s="11" t="n">
        <v>9623862.75</v>
      </c>
      <c r="J232" s="11" t="n">
        <v>2465212.210000001</v>
      </c>
      <c r="K232" s="12" t="n">
        <v>80.78828423129787</v>
      </c>
      <c r="L232" s="11" t="n">
        <v>742742.0399999991</v>
      </c>
      <c r="M232" s="12" t="n">
        <v>5.788284231297865</v>
      </c>
      <c r="N232" s="11" t="n">
        <v>13822139.72</v>
      </c>
      <c r="O232" s="11" t="n">
        <v>990322.7199999988</v>
      </c>
      <c r="P232" t="inlineStr">
        <is>
          <t>Above pace</t>
        </is>
      </c>
      <c r="Q232" s="11" t="n">
        <v>742742.0399999991</v>
      </c>
    </row>
    <row r="233">
      <c r="A233" t="inlineStr">
        <is>
          <t>Communications &amp; Technology Management</t>
        </is>
      </c>
      <c r="B233" t="inlineStr">
        <is>
          <t>Information and Technology Fund</t>
        </is>
      </c>
      <c r="C233" t="inlineStr">
        <is>
          <t>Customer Delivery</t>
        </is>
      </c>
      <c r="D233" t="inlineStr">
        <is>
          <t>Supplies, technology &amp; equipment</t>
        </is>
      </c>
      <c r="E233" s="11" t="n">
        <v>5386260</v>
      </c>
      <c r="F233" s="11" t="n">
        <v>4782133.66</v>
      </c>
      <c r="G233" t="n">
        <v>28</v>
      </c>
      <c r="H233" s="12" t="n">
        <v>75</v>
      </c>
      <c r="I233" s="11" t="n">
        <v>4039695</v>
      </c>
      <c r="J233" s="11" t="n">
        <v>604126.3399999999</v>
      </c>
      <c r="K233" s="12" t="n">
        <v>88.78393653481265</v>
      </c>
      <c r="L233" s="11" t="n">
        <v>742438.6600000001</v>
      </c>
      <c r="M233" s="12" t="n">
        <v>13.78393653481265</v>
      </c>
      <c r="N233" s="11" t="n">
        <v>6376178.213333334</v>
      </c>
      <c r="O233" s="11" t="n">
        <v>989918.2133333338</v>
      </c>
      <c r="P233" t="inlineStr">
        <is>
          <t>Above pace</t>
        </is>
      </c>
      <c r="Q233" s="11" t="n">
        <v>742438.6600000001</v>
      </c>
    </row>
    <row r="234">
      <c r="A234" t="inlineStr">
        <is>
          <t>Austin Water</t>
        </is>
      </c>
      <c r="B234" t="inlineStr">
        <is>
          <t>Austin Water Water Utility Operating Fund</t>
        </is>
      </c>
      <c r="C234" t="inlineStr">
        <is>
          <t>Support Services</t>
        </is>
      </c>
      <c r="D234" t="inlineStr">
        <is>
          <t>Contractual services</t>
        </is>
      </c>
      <c r="E234" s="11" t="n">
        <v>5547889</v>
      </c>
      <c r="F234" s="11" t="n">
        <v>4892623.46</v>
      </c>
      <c r="G234" t="n">
        <v>66</v>
      </c>
      <c r="H234" s="12" t="n">
        <v>75</v>
      </c>
      <c r="I234" s="11" t="n">
        <v>4160916.75</v>
      </c>
      <c r="J234" s="11" t="n">
        <v>655265.54</v>
      </c>
      <c r="K234" s="12" t="n">
        <v>88.18892122751555</v>
      </c>
      <c r="L234" s="11" t="n">
        <v>731706.71</v>
      </c>
      <c r="M234" s="12" t="n">
        <v>13.18892122751555</v>
      </c>
      <c r="N234" s="11" t="n">
        <v>6523497.946666666</v>
      </c>
      <c r="O234" s="11" t="n">
        <v>975608.9466666664</v>
      </c>
      <c r="P234" t="inlineStr">
        <is>
          <t>Above pace</t>
        </is>
      </c>
      <c r="Q234" s="11" t="n">
        <v>731706.71</v>
      </c>
    </row>
    <row r="235">
      <c r="A235" t="inlineStr">
        <is>
          <t>Public Works</t>
        </is>
      </c>
      <c r="B235" t="inlineStr">
        <is>
          <t>Parking Management Fund</t>
        </is>
      </c>
      <c r="C235" t="inlineStr">
        <is>
          <t>Parking and Mobility Management</t>
        </is>
      </c>
      <c r="D235" t="inlineStr">
        <is>
          <t>Contractual services</t>
        </is>
      </c>
      <c r="E235" s="11" t="n">
        <v>1695950</v>
      </c>
      <c r="F235" s="11" t="n">
        <v>542612.7899999999</v>
      </c>
      <c r="G235" t="n">
        <v>21</v>
      </c>
      <c r="H235" s="12" t="n">
        <v>75</v>
      </c>
      <c r="I235" s="11" t="n">
        <v>1271962.5</v>
      </c>
      <c r="J235" s="11" t="n">
        <v>1153337.21</v>
      </c>
      <c r="K235" s="12" t="n">
        <v>31.99462189333412</v>
      </c>
      <c r="L235" s="11" t="n">
        <v>-729349.7100000001</v>
      </c>
      <c r="M235" s="12" t="n">
        <v>-43.00537810666589</v>
      </c>
      <c r="N235" s="11" t="n">
        <v>723483.7199999999</v>
      </c>
      <c r="O235" s="11" t="n">
        <v>-972466.28</v>
      </c>
      <c r="P235" t="inlineStr">
        <is>
          <t>Below pace</t>
        </is>
      </c>
      <c r="Q235" s="11" t="n">
        <v>729349.7100000001</v>
      </c>
    </row>
    <row r="236">
      <c r="A236" t="inlineStr">
        <is>
          <t>Economic Development</t>
        </is>
      </c>
      <c r="B236" t="inlineStr">
        <is>
          <t>Economic Incentives Reserve Fund</t>
        </is>
      </c>
      <c r="C236" t="inlineStr">
        <is>
          <t>Business Incentives and Expansion</t>
        </is>
      </c>
      <c r="D236" t="inlineStr">
        <is>
          <t>Grants &amp; contributions</t>
        </is>
      </c>
      <c r="E236" s="11" t="n">
        <v>7663380</v>
      </c>
      <c r="F236" s="11" t="n">
        <v>5019616.54</v>
      </c>
      <c r="G236" t="n">
        <v>1</v>
      </c>
      <c r="H236" s="12" t="n">
        <v>75</v>
      </c>
      <c r="I236" s="11" t="n">
        <v>5747535</v>
      </c>
      <c r="J236" s="11" t="n">
        <v>2643763.46</v>
      </c>
      <c r="K236" s="12" t="n">
        <v>65.50133935678512</v>
      </c>
      <c r="L236" s="11" t="n">
        <v>-727918.46</v>
      </c>
      <c r="M236" s="12" t="n">
        <v>-9.498660643214876</v>
      </c>
      <c r="N236" s="11" t="n">
        <v>6692822.053333334</v>
      </c>
      <c r="O236" s="11" t="n">
        <v>-970557.9466666664</v>
      </c>
      <c r="P236" t="inlineStr">
        <is>
          <t>Below pace</t>
        </is>
      </c>
      <c r="Q236" s="11" t="n">
        <v>727918.46</v>
      </c>
    </row>
    <row r="237">
      <c r="A237" t="inlineStr">
        <is>
          <t>Management Services</t>
        </is>
      </c>
      <c r="B237" t="inlineStr">
        <is>
          <t>Urban Forest Replenishment Fund</t>
        </is>
      </c>
      <c r="C237" t="inlineStr">
        <is>
          <t>Community Tree Preservation</t>
        </is>
      </c>
      <c r="D237" t="inlineStr">
        <is>
          <t>Other operating costs</t>
        </is>
      </c>
      <c r="E237" s="11" t="n">
        <v>4276950</v>
      </c>
      <c r="F237" s="11" t="n">
        <v>2481667.47</v>
      </c>
      <c r="G237" t="n">
        <v>8</v>
      </c>
      <c r="H237" s="12" t="n">
        <v>75</v>
      </c>
      <c r="I237" s="11" t="n">
        <v>3207712.5</v>
      </c>
      <c r="J237" s="11" t="n">
        <v>1795282.53</v>
      </c>
      <c r="K237" s="12" t="n">
        <v>58.02423385824009</v>
      </c>
      <c r="L237" s="11" t="n">
        <v>-726045.0300000003</v>
      </c>
      <c r="M237" s="12" t="n">
        <v>-16.97576614175991</v>
      </c>
      <c r="N237" s="11" t="n">
        <v>3308889.959999999</v>
      </c>
      <c r="O237" s="11" t="n">
        <v>-968060.0400000004</v>
      </c>
      <c r="P237" t="inlineStr">
        <is>
          <t>Below pace</t>
        </is>
      </c>
      <c r="Q237" s="11" t="n">
        <v>726045.0300000003</v>
      </c>
    </row>
    <row r="238">
      <c r="A238" t="inlineStr">
        <is>
          <t>Austin Convention Center</t>
        </is>
      </c>
      <c r="B238" t="inlineStr">
        <is>
          <t>Convention Center Operating Fund</t>
        </is>
      </c>
      <c r="C238" t="inlineStr">
        <is>
          <t>Event Operations</t>
        </is>
      </c>
      <c r="D238" t="inlineStr">
        <is>
          <t>Personnel &amp; benefits</t>
        </is>
      </c>
      <c r="E238" s="11" t="n">
        <v>15590845</v>
      </c>
      <c r="F238" s="11" t="n">
        <v>12416898.82</v>
      </c>
      <c r="G238" t="n">
        <v>163</v>
      </c>
      <c r="H238" s="12" t="n">
        <v>75</v>
      </c>
      <c r="I238" s="11" t="n">
        <v>11693133.75</v>
      </c>
      <c r="J238" s="11" t="n">
        <v>3173946.18</v>
      </c>
      <c r="K238" s="12" t="n">
        <v>79.64224402205268</v>
      </c>
      <c r="L238" s="11" t="n">
        <v>723765.0700000003</v>
      </c>
      <c r="M238" s="12" t="n">
        <v>4.64224402205268</v>
      </c>
      <c r="N238" s="11" t="n">
        <v>16555865.09333333</v>
      </c>
      <c r="O238" s="11" t="n">
        <v>965020.0933333336</v>
      </c>
      <c r="P238" t="inlineStr">
        <is>
          <t>Near pace</t>
        </is>
      </c>
      <c r="Q238" s="11" t="n">
        <v>723765.0700000003</v>
      </c>
    </row>
    <row r="239">
      <c r="A239" t="inlineStr">
        <is>
          <t>Austin Water</t>
        </is>
      </c>
      <c r="B239" t="inlineStr">
        <is>
          <t>Austin Water Wastewater Utility Operating Fund</t>
        </is>
      </c>
      <c r="C239" t="inlineStr">
        <is>
          <t>Transfers, Debt Service, and Other Requirements</t>
        </is>
      </c>
      <c r="D239" t="inlineStr">
        <is>
          <t>Contractual services</t>
        </is>
      </c>
      <c r="E239" s="11" t="n">
        <v>8562283</v>
      </c>
      <c r="F239" s="11" t="n">
        <v>7135235.8</v>
      </c>
      <c r="G239" t="n">
        <v>1</v>
      </c>
      <c r="H239" s="12" t="n">
        <v>75</v>
      </c>
      <c r="I239" s="11" t="n">
        <v>6421712.25</v>
      </c>
      <c r="J239" s="11" t="n">
        <v>1427047.2</v>
      </c>
      <c r="K239" s="12" t="n">
        <v>83.33333294402907</v>
      </c>
      <c r="L239" s="11" t="n">
        <v>713523.5499999998</v>
      </c>
      <c r="M239" s="12" t="n">
        <v>8.333332944029067</v>
      </c>
      <c r="N239" s="11" t="n">
        <v>9513647.733333332</v>
      </c>
      <c r="O239" s="11" t="n">
        <v>951364.7333333323</v>
      </c>
      <c r="P239" t="inlineStr">
        <is>
          <t>Above pace</t>
        </is>
      </c>
      <c r="Q239" s="11" t="n">
        <v>713523.5499999998</v>
      </c>
    </row>
    <row r="240">
      <c r="A240" t="inlineStr">
        <is>
          <t>Financial Services</t>
        </is>
      </c>
      <c r="B240" t="inlineStr">
        <is>
          <t>Support Services Fund</t>
        </is>
      </c>
      <c r="C240" t="inlineStr">
        <is>
          <t>Central Procurement</t>
        </is>
      </c>
      <c r="D240" t="inlineStr">
        <is>
          <t>Other operating costs</t>
        </is>
      </c>
      <c r="E240" s="11" t="n">
        <v>-2143897</v>
      </c>
      <c r="F240" s="11" t="n">
        <v>-2320843.43</v>
      </c>
      <c r="G240" t="n">
        <v>109</v>
      </c>
      <c r="H240" s="12" t="n">
        <v>75</v>
      </c>
      <c r="I240" s="11" t="n">
        <v>-1607922.75</v>
      </c>
      <c r="J240" s="11" t="n">
        <v>176946.4299999997</v>
      </c>
      <c r="K240" s="12" t="n">
        <v>108.2534949206981</v>
      </c>
      <c r="L240" s="11" t="n">
        <v>-712920.6799999997</v>
      </c>
      <c r="M240" s="12" t="n">
        <v>33.25349492069813</v>
      </c>
      <c r="N240" s="11" t="n">
        <v>-3094457.906666666</v>
      </c>
      <c r="O240" s="11" t="n">
        <v>-950560.9066666664</v>
      </c>
      <c r="P240" t="inlineStr">
        <is>
          <t>Review: non-positive budget</t>
        </is>
      </c>
      <c r="Q240" s="11" t="n">
        <v>712920.6799999997</v>
      </c>
    </row>
    <row r="241">
      <c r="A241" t="inlineStr">
        <is>
          <t>Aviation</t>
        </is>
      </c>
      <c r="B241" t="inlineStr">
        <is>
          <t>Airport Operating Fund</t>
        </is>
      </c>
      <c r="C241" t="inlineStr">
        <is>
          <t>Facilities Management, Operations and Airport Security</t>
        </is>
      </c>
      <c r="D241" t="inlineStr">
        <is>
          <t>Contractual services</t>
        </is>
      </c>
      <c r="E241" s="11" t="n">
        <v>13248500</v>
      </c>
      <c r="F241" s="11" t="n">
        <v>9229310.060000001</v>
      </c>
      <c r="G241" t="n">
        <v>52</v>
      </c>
      <c r="H241" s="12" t="n">
        <v>75</v>
      </c>
      <c r="I241" s="11" t="n">
        <v>9936375</v>
      </c>
      <c r="J241" s="11" t="n">
        <v>4019189.94</v>
      </c>
      <c r="K241" s="12" t="n">
        <v>69.6630566479224</v>
      </c>
      <c r="L241" s="11" t="n">
        <v>-707064.9399999995</v>
      </c>
      <c r="M241" s="12" t="n">
        <v>-5.336943352077597</v>
      </c>
      <c r="N241" s="11" t="n">
        <v>12305746.74666667</v>
      </c>
      <c r="O241" s="11" t="n">
        <v>-942753.253333332</v>
      </c>
      <c r="P241" t="inlineStr">
        <is>
          <t>Below pace</t>
        </is>
      </c>
      <c r="Q241" s="11" t="n">
        <v>707064.9399999995</v>
      </c>
    </row>
    <row r="242">
      <c r="A242" t="inlineStr">
        <is>
          <t>Management Services</t>
        </is>
      </c>
      <c r="B242" t="inlineStr">
        <is>
          <t>Urban Forest Replenishment Fund</t>
        </is>
      </c>
      <c r="C242" t="inlineStr">
        <is>
          <t>Community Tree Preservation</t>
        </is>
      </c>
      <c r="D242" t="inlineStr">
        <is>
          <t>Contractual services</t>
        </is>
      </c>
      <c r="E242" s="11" t="n">
        <v>1050000</v>
      </c>
      <c r="F242" s="11" t="n">
        <v>91501.95</v>
      </c>
      <c r="G242" t="n">
        <v>1</v>
      </c>
      <c r="H242" s="12" t="n">
        <v>75</v>
      </c>
      <c r="I242" s="11" t="n">
        <v>787500</v>
      </c>
      <c r="J242" s="11" t="n">
        <v>958498.05</v>
      </c>
      <c r="K242" s="12" t="n">
        <v>8.714471428571429</v>
      </c>
      <c r="L242" s="11" t="n">
        <v>-695998.05</v>
      </c>
      <c r="M242" s="12" t="n">
        <v>-66.28552857142857</v>
      </c>
      <c r="N242" s="11" t="n">
        <v>122002.6</v>
      </c>
      <c r="O242" s="11" t="n">
        <v>-927997.4</v>
      </c>
      <c r="P242" t="inlineStr">
        <is>
          <t>Below pace</t>
        </is>
      </c>
      <c r="Q242" s="11" t="n">
        <v>695998.05</v>
      </c>
    </row>
    <row r="243">
      <c r="A243" t="inlineStr">
        <is>
          <t>Austin Water</t>
        </is>
      </c>
      <c r="B243" t="inlineStr">
        <is>
          <t>Austin Water Wastewater Utility Operating Fund</t>
        </is>
      </c>
      <c r="C243" t="inlineStr">
        <is>
          <t>Engineering and Technical Services</t>
        </is>
      </c>
      <c r="D243" t="inlineStr">
        <is>
          <t>Contractual services</t>
        </is>
      </c>
      <c r="E243" s="11" t="n">
        <v>2340423</v>
      </c>
      <c r="F243" s="11" t="n">
        <v>1061615.52</v>
      </c>
      <c r="G243" t="n">
        <v>19</v>
      </c>
      <c r="H243" s="12" t="n">
        <v>75</v>
      </c>
      <c r="I243" s="11" t="n">
        <v>1755317.25</v>
      </c>
      <c r="J243" s="11" t="n">
        <v>1278807.48</v>
      </c>
      <c r="K243" s="12" t="n">
        <v>45.35998492580188</v>
      </c>
      <c r="L243" s="11" t="n">
        <v>-693701.73</v>
      </c>
      <c r="M243" s="12" t="n">
        <v>-29.64001507419812</v>
      </c>
      <c r="N243" s="11" t="n">
        <v>1415487.36</v>
      </c>
      <c r="O243" s="11" t="n">
        <v>-924935.64</v>
      </c>
      <c r="P243" t="inlineStr">
        <is>
          <t>Below pace</t>
        </is>
      </c>
      <c r="Q243" s="11" t="n">
        <v>693701.73</v>
      </c>
    </row>
    <row r="244">
      <c r="A244" t="inlineStr">
        <is>
          <t>Building Services</t>
        </is>
      </c>
      <c r="B244" t="inlineStr">
        <is>
          <t>Grove Boulevard Campus Facility Fund</t>
        </is>
      </c>
      <c r="C244" t="inlineStr">
        <is>
          <t>Transfers, Debt Service, and Other Requirements</t>
        </is>
      </c>
      <c r="D244" t="inlineStr">
        <is>
          <t>Transfers &amp; debt service</t>
        </is>
      </c>
      <c r="E244" s="11" t="n">
        <v>2644112</v>
      </c>
      <c r="F244" s="11" t="n">
        <v>1291470.01</v>
      </c>
      <c r="G244" t="n">
        <v>2</v>
      </c>
      <c r="H244" s="12" t="n">
        <v>75</v>
      </c>
      <c r="I244" s="11" t="n">
        <v>1983084</v>
      </c>
      <c r="J244" s="11" t="n">
        <v>1352641.99</v>
      </c>
      <c r="K244" s="12" t="n">
        <v>48.84324151170601</v>
      </c>
      <c r="L244" s="11" t="n">
        <v>-691613.99</v>
      </c>
      <c r="M244" s="12" t="n">
        <v>-26.15675848829399</v>
      </c>
      <c r="N244" s="11" t="n">
        <v>1721960.013333333</v>
      </c>
      <c r="O244" s="11" t="n">
        <v>-922151.9866666666</v>
      </c>
      <c r="P244" t="inlineStr">
        <is>
          <t>Below pace</t>
        </is>
      </c>
      <c r="Q244" s="11" t="n">
        <v>691613.99</v>
      </c>
    </row>
    <row r="245">
      <c r="A245" t="inlineStr">
        <is>
          <t>Austin Water</t>
        </is>
      </c>
      <c r="B245" t="inlineStr">
        <is>
          <t>Austin Water Water Utility Operating Fund</t>
        </is>
      </c>
      <c r="C245" t="inlineStr">
        <is>
          <t>Support Services</t>
        </is>
      </c>
      <c r="D245" t="inlineStr">
        <is>
          <t>Other operating costs</t>
        </is>
      </c>
      <c r="E245" s="11" t="n">
        <v>3850767</v>
      </c>
      <c r="F245" s="11" t="n">
        <v>2201040.84</v>
      </c>
      <c r="G245" t="n">
        <v>552</v>
      </c>
      <c r="H245" s="12" t="n">
        <v>75</v>
      </c>
      <c r="I245" s="11" t="n">
        <v>2888075.25</v>
      </c>
      <c r="J245" s="11" t="n">
        <v>1649726.16</v>
      </c>
      <c r="K245" s="12" t="n">
        <v>57.15850478618936</v>
      </c>
      <c r="L245" s="11" t="n">
        <v>-687034.4099999997</v>
      </c>
      <c r="M245" s="12" t="n">
        <v>-17.84149521381065</v>
      </c>
      <c r="N245" s="11" t="n">
        <v>2934721.120000001</v>
      </c>
      <c r="O245" s="11" t="n">
        <v>-916045.8799999994</v>
      </c>
      <c r="P245" t="inlineStr">
        <is>
          <t>Below pace</t>
        </is>
      </c>
      <c r="Q245" s="11" t="n">
        <v>687034.4099999997</v>
      </c>
    </row>
    <row r="246">
      <c r="A246" t="inlineStr">
        <is>
          <t>Nondepartmental</t>
        </is>
      </c>
      <c r="B246" t="inlineStr">
        <is>
          <t>Support Services Fund</t>
        </is>
      </c>
      <c r="C246" t="inlineStr">
        <is>
          <t>Transfers, Debt Service, and Other Requirements</t>
        </is>
      </c>
      <c r="D246" t="inlineStr">
        <is>
          <t>Transfers &amp; debt service</t>
        </is>
      </c>
      <c r="E246" s="11" t="n">
        <v>5313132</v>
      </c>
      <c r="F246" s="11" t="n">
        <v>4670147</v>
      </c>
      <c r="G246" t="n">
        <v>3</v>
      </c>
      <c r="H246" s="12" t="n">
        <v>75</v>
      </c>
      <c r="I246" s="11" t="n">
        <v>3984849</v>
      </c>
      <c r="J246" s="11" t="n">
        <v>642985</v>
      </c>
      <c r="K246" s="12" t="n">
        <v>87.89819262913099</v>
      </c>
      <c r="L246" s="11" t="n">
        <v>685298</v>
      </c>
      <c r="M246" s="12" t="n">
        <v>12.89819262913099</v>
      </c>
      <c r="N246" s="11" t="n">
        <v>6226862.666666667</v>
      </c>
      <c r="O246" s="11" t="n">
        <v>913730.666666667</v>
      </c>
      <c r="P246" t="inlineStr">
        <is>
          <t>Above pace</t>
        </is>
      </c>
      <c r="Q246" s="11" t="n">
        <v>685298</v>
      </c>
    </row>
    <row r="247">
      <c r="A247" t="inlineStr">
        <is>
          <t>Financial Services</t>
        </is>
      </c>
      <c r="B247" t="inlineStr">
        <is>
          <t>Support Services Fund</t>
        </is>
      </c>
      <c r="C247" t="inlineStr">
        <is>
          <t>Accounting and Reporting</t>
        </is>
      </c>
      <c r="D247" t="inlineStr">
        <is>
          <t>Supplies, technology &amp; equipment</t>
        </is>
      </c>
      <c r="E247" s="11" t="n">
        <v>2203023</v>
      </c>
      <c r="F247" s="11" t="n">
        <v>2332894.16</v>
      </c>
      <c r="G247" t="n">
        <v>19</v>
      </c>
      <c r="H247" s="12" t="n">
        <v>75</v>
      </c>
      <c r="I247" s="11" t="n">
        <v>1652267.25</v>
      </c>
      <c r="J247" s="11" t="n">
        <v>-129871.1599999997</v>
      </c>
      <c r="K247" s="12" t="n">
        <v>105.8951340952863</v>
      </c>
      <c r="L247" s="11" t="n">
        <v>680626.9099999997</v>
      </c>
      <c r="M247" s="12" t="n">
        <v>30.89513409528632</v>
      </c>
      <c r="N247" s="11" t="n">
        <v>3110525.546666666</v>
      </c>
      <c r="O247" s="11" t="n">
        <v>907502.5466666664</v>
      </c>
      <c r="P247" t="inlineStr">
        <is>
          <t>Above pace</t>
        </is>
      </c>
      <c r="Q247" s="11" t="n">
        <v>680626.9099999997</v>
      </c>
    </row>
    <row r="248">
      <c r="A248" t="inlineStr">
        <is>
          <t>Municipal Court</t>
        </is>
      </c>
      <c r="B248" t="inlineStr">
        <is>
          <t>General Fund</t>
        </is>
      </c>
      <c r="C248" t="inlineStr">
        <is>
          <t>Support Services</t>
        </is>
      </c>
      <c r="D248" t="inlineStr">
        <is>
          <t>Personnel &amp; benefits</t>
        </is>
      </c>
      <c r="E248" s="11" t="n">
        <v>2829678</v>
      </c>
      <c r="F248" s="11" t="n">
        <v>2798205.17</v>
      </c>
      <c r="G248" t="n">
        <v>38</v>
      </c>
      <c r="H248" s="12" t="n">
        <v>75</v>
      </c>
      <c r="I248" s="11" t="n">
        <v>2122258.5</v>
      </c>
      <c r="J248" s="11" t="n">
        <v>31472.83000000007</v>
      </c>
      <c r="K248" s="12" t="n">
        <v>98.88775931395728</v>
      </c>
      <c r="L248" s="11" t="n">
        <v>675946.6699999999</v>
      </c>
      <c r="M248" s="12" t="n">
        <v>23.88775931395728</v>
      </c>
      <c r="N248" s="11" t="n">
        <v>3730940.226666667</v>
      </c>
      <c r="O248" s="11" t="n">
        <v>901262.2266666666</v>
      </c>
      <c r="P248" t="inlineStr">
        <is>
          <t>Above pace</t>
        </is>
      </c>
      <c r="Q248" s="11" t="n">
        <v>675946.6699999999</v>
      </c>
    </row>
    <row r="249">
      <c r="A249" t="inlineStr">
        <is>
          <t>Economic Development</t>
        </is>
      </c>
      <c r="B249" t="inlineStr">
        <is>
          <t>Rainey Street Historic District Fund</t>
        </is>
      </c>
      <c r="C249" t="inlineStr">
        <is>
          <t>Rainey Street Historic District Fund</t>
        </is>
      </c>
      <c r="D249" t="inlineStr">
        <is>
          <t>Contractual services</t>
        </is>
      </c>
      <c r="E249" s="11" t="n">
        <v>901054</v>
      </c>
      <c r="F249" s="11" t="n">
        <v>0</v>
      </c>
      <c r="G249" t="n">
        <v>1</v>
      </c>
      <c r="H249" s="12" t="n">
        <v>75</v>
      </c>
      <c r="I249" s="11" t="n">
        <v>675790.5</v>
      </c>
      <c r="J249" s="11" t="n">
        <v>901054</v>
      </c>
      <c r="K249" s="12" t="n">
        <v>0</v>
      </c>
      <c r="L249" s="11" t="n">
        <v>-675790.5</v>
      </c>
      <c r="M249" s="12" t="n">
        <v>-75</v>
      </c>
      <c r="N249" s="11" t="n">
        <v>0</v>
      </c>
      <c r="O249" s="11" t="n">
        <v>-901054</v>
      </c>
      <c r="P249" t="inlineStr">
        <is>
          <t>Below pace</t>
        </is>
      </c>
      <c r="Q249" s="11" t="n">
        <v>675790.5</v>
      </c>
    </row>
    <row r="250">
      <c r="A250" t="inlineStr">
        <is>
          <t>Austin Convention Center</t>
        </is>
      </c>
      <c r="B250" t="inlineStr">
        <is>
          <t>Convention Center Operating Fund</t>
        </is>
      </c>
      <c r="C250" t="inlineStr">
        <is>
          <t>Support Services</t>
        </is>
      </c>
      <c r="D250" t="inlineStr">
        <is>
          <t>Other operating costs</t>
        </is>
      </c>
      <c r="E250" s="11" t="n">
        <v>458218</v>
      </c>
      <c r="F250" s="11" t="n">
        <v>-324779.53</v>
      </c>
      <c r="G250" t="n">
        <v>126</v>
      </c>
      <c r="H250" s="12" t="n">
        <v>75</v>
      </c>
      <c r="I250" s="11" t="n">
        <v>343663.5</v>
      </c>
      <c r="J250" s="11" t="n">
        <v>782997.53</v>
      </c>
      <c r="K250" s="12" t="n">
        <v>-70.87882405317993</v>
      </c>
      <c r="L250" s="11" t="n">
        <v>-668443.03</v>
      </c>
      <c r="M250" s="12" t="n">
        <v>-145.8788240531799</v>
      </c>
      <c r="N250" s="11" t="n">
        <v>-433039.3733333333</v>
      </c>
      <c r="O250" s="11" t="n">
        <v>-891257.3733333333</v>
      </c>
      <c r="P250" t="inlineStr">
        <is>
          <t>Below pace</t>
        </is>
      </c>
      <c r="Q250" s="11" t="n">
        <v>668443.03</v>
      </c>
    </row>
    <row r="251">
      <c r="A251" t="inlineStr">
        <is>
          <t>Emergency Medical Services</t>
        </is>
      </c>
      <c r="B251" t="inlineStr">
        <is>
          <t>General Fund</t>
        </is>
      </c>
      <c r="C251" t="inlineStr">
        <is>
          <t>Emergency Communications</t>
        </is>
      </c>
      <c r="D251" t="inlineStr">
        <is>
          <t>Other operating costs</t>
        </is>
      </c>
      <c r="E251" s="11" t="n">
        <v>642997</v>
      </c>
      <c r="F251" s="11" t="n">
        <v>1149711.11</v>
      </c>
      <c r="G251" t="n">
        <v>32</v>
      </c>
      <c r="H251" s="12" t="n">
        <v>75</v>
      </c>
      <c r="I251" s="11" t="n">
        <v>482247.75</v>
      </c>
      <c r="J251" s="11" t="n">
        <v>-506714.1099999999</v>
      </c>
      <c r="K251" s="12" t="n">
        <v>178.8050504123658</v>
      </c>
      <c r="L251" s="11" t="n">
        <v>667463.3599999999</v>
      </c>
      <c r="M251" s="12" t="n">
        <v>103.8050504123658</v>
      </c>
      <c r="N251" s="11" t="n">
        <v>1532948.146666666</v>
      </c>
      <c r="O251" s="11" t="n">
        <v>889951.1466666665</v>
      </c>
      <c r="P251" t="inlineStr">
        <is>
          <t>Above pace</t>
        </is>
      </c>
      <c r="Q251" s="11" t="n">
        <v>667463.3599999999</v>
      </c>
    </row>
    <row r="252">
      <c r="A252" t="inlineStr">
        <is>
          <t>Homeless Strategy Office</t>
        </is>
      </c>
      <c r="B252" t="inlineStr">
        <is>
          <t>House Our People Endowment Fund</t>
        </is>
      </c>
      <c r="C252" t="inlineStr">
        <is>
          <t>Homeless Strategy Office</t>
        </is>
      </c>
      <c r="D252" t="inlineStr">
        <is>
          <t>Grants &amp; contributions</t>
        </is>
      </c>
      <c r="E252" s="11" t="n">
        <v>900000</v>
      </c>
      <c r="F252" s="11" t="n">
        <v>10200</v>
      </c>
      <c r="G252" t="n">
        <v>1</v>
      </c>
      <c r="H252" s="12" t="n">
        <v>75</v>
      </c>
      <c r="I252" s="11" t="n">
        <v>675000</v>
      </c>
      <c r="J252" s="11" t="n">
        <v>889800</v>
      </c>
      <c r="K252" s="12" t="n">
        <v>1.133333333333333</v>
      </c>
      <c r="L252" s="11" t="n">
        <v>-664800</v>
      </c>
      <c r="M252" s="12" t="n">
        <v>-73.86666666666666</v>
      </c>
      <c r="N252" s="11" t="n">
        <v>13600</v>
      </c>
      <c r="O252" s="11" t="n">
        <v>-886400</v>
      </c>
      <c r="P252" t="inlineStr">
        <is>
          <t>Below pace</t>
        </is>
      </c>
      <c r="Q252" s="11" t="n">
        <v>664800</v>
      </c>
    </row>
    <row r="253">
      <c r="A253" t="inlineStr">
        <is>
          <t>Development Services</t>
        </is>
      </c>
      <c r="B253" t="inlineStr">
        <is>
          <t>Austin Code Fund</t>
        </is>
      </c>
      <c r="C253" t="inlineStr">
        <is>
          <t>Investigations and Compliance</t>
        </is>
      </c>
      <c r="D253" t="inlineStr">
        <is>
          <t>Personnel &amp; benefits</t>
        </is>
      </c>
      <c r="E253" s="11" t="n">
        <v>12770221</v>
      </c>
      <c r="F253" s="11" t="n">
        <v>10241244.98</v>
      </c>
      <c r="G253" t="n">
        <v>121</v>
      </c>
      <c r="H253" s="12" t="n">
        <v>75</v>
      </c>
      <c r="I253" s="11" t="n">
        <v>9577665.75</v>
      </c>
      <c r="J253" s="11" t="n">
        <v>2528976.02</v>
      </c>
      <c r="K253" s="12" t="n">
        <v>80.1963018494355</v>
      </c>
      <c r="L253" s="11" t="n">
        <v>663579.2300000004</v>
      </c>
      <c r="M253" s="12" t="n">
        <v>5.1963018494355</v>
      </c>
      <c r="N253" s="11" t="n">
        <v>13654993.30666667</v>
      </c>
      <c r="O253" s="11" t="n">
        <v>884772.3066666666</v>
      </c>
      <c r="P253" t="inlineStr">
        <is>
          <t>Above pace</t>
        </is>
      </c>
      <c r="Q253" s="11" t="n">
        <v>663579.2300000004</v>
      </c>
    </row>
    <row r="254">
      <c r="A254" t="inlineStr">
        <is>
          <t>Austin Convention Center</t>
        </is>
      </c>
      <c r="B254" t="inlineStr">
        <is>
          <t>Convention Center Palmer Events Center Revenue Fund</t>
        </is>
      </c>
      <c r="C254" t="inlineStr">
        <is>
          <t>Event Operations</t>
        </is>
      </c>
      <c r="D254" t="inlineStr">
        <is>
          <t>Contractual services</t>
        </is>
      </c>
      <c r="E254" s="11" t="n">
        <v>2259997</v>
      </c>
      <c r="F254" s="11" t="n">
        <v>2355644.68</v>
      </c>
      <c r="G254" t="n">
        <v>2</v>
      </c>
      <c r="H254" s="12" t="n">
        <v>75</v>
      </c>
      <c r="I254" s="11" t="n">
        <v>1694997.75</v>
      </c>
      <c r="J254" s="11" t="n">
        <v>-95647.68000000015</v>
      </c>
      <c r="K254" s="12" t="n">
        <v>104.2322038480582</v>
      </c>
      <c r="L254" s="11" t="n">
        <v>660646.9300000002</v>
      </c>
      <c r="M254" s="12" t="n">
        <v>29.23220384805822</v>
      </c>
      <c r="N254" s="11" t="n">
        <v>3140859.573333334</v>
      </c>
      <c r="O254" s="11" t="n">
        <v>880862.5733333337</v>
      </c>
      <c r="P254" t="inlineStr">
        <is>
          <t>Above pace</t>
        </is>
      </c>
      <c r="Q254" s="11" t="n">
        <v>660646.9300000002</v>
      </c>
    </row>
  </sheetData>
  <autoFilter ref="A4:Q254"/>
  <mergeCells count="2">
    <mergeCell ref="A1:J1"/>
    <mergeCell ref="A2:J2"/>
  </mergeCells>
  <conditionalFormatting sqref="L5:L25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 ht="30" customHeight="1">
      <c r="A1" s="1" t="inlineStr">
        <is>
          <t>Data Quality</t>
        </is>
      </c>
    </row>
    <row r="2" ht="32" customHeight="1">
      <c r="A2" s="2" t="inlineStr">
        <is>
          <t>Reviewed output generated by build_finance.py.</t>
        </is>
      </c>
    </row>
    <row r="4">
      <c r="A4" s="10" t="inlineStr">
        <is>
          <t>check_name</t>
        </is>
      </c>
      <c r="B4" s="10" t="inlineStr">
        <is>
          <t>issue_count</t>
        </is>
      </c>
      <c r="C4" s="10" t="inlineStr">
        <is>
          <t>check_status</t>
        </is>
      </c>
    </row>
    <row r="5">
      <c r="A5" t="inlineStr">
        <is>
          <t>source_rows</t>
        </is>
      </c>
      <c r="B5" t="n">
        <v>57267</v>
      </c>
      <c r="C5" t="inlineStr">
        <is>
          <t>INFO</t>
        </is>
      </c>
    </row>
    <row r="6">
      <c r="A6" t="inlineStr">
        <is>
          <t>duplicate_key_rows</t>
        </is>
      </c>
      <c r="B6" t="n">
        <v>0</v>
      </c>
      <c r="C6" t="inlineStr">
        <is>
          <t>PASS</t>
        </is>
      </c>
    </row>
    <row r="7">
      <c r="A7" t="inlineStr">
        <is>
          <t>missing_dimension_cells</t>
        </is>
      </c>
      <c r="B7" t="n">
        <v>0</v>
      </c>
      <c r="C7" t="inlineStr">
        <is>
          <t>PASS</t>
        </is>
      </c>
    </row>
    <row r="8">
      <c r="A8" t="inlineStr">
        <is>
          <t>zero_budget_rows</t>
        </is>
      </c>
      <c r="B8" t="n">
        <v>26552</v>
      </c>
      <c r="C8" t="inlineStr">
        <is>
          <t>REVIEW</t>
        </is>
      </c>
    </row>
    <row r="9">
      <c r="A9" t="inlineStr">
        <is>
          <t>positive_spend_with_zero_budget_rows</t>
        </is>
      </c>
      <c r="B9" t="n">
        <v>13688</v>
      </c>
      <c r="C9" t="inlineStr">
        <is>
          <t>REVIEW</t>
        </is>
      </c>
    </row>
    <row r="10">
      <c r="A10" t="inlineStr">
        <is>
          <t>positive_spend_with_zero_budget_value</t>
        </is>
      </c>
      <c r="B10" t="n">
        <v>435194203.16</v>
      </c>
      <c r="C10" t="inlineStr">
        <is>
          <t>REVIEW</t>
        </is>
      </c>
    </row>
    <row r="11">
      <c r="A11" t="inlineStr">
        <is>
          <t>negative_budget_rows</t>
        </is>
      </c>
      <c r="B11" t="n">
        <v>1242</v>
      </c>
      <c r="C11" t="inlineStr">
        <is>
          <t>REVIEW</t>
        </is>
      </c>
    </row>
    <row r="12">
      <c r="A12" t="inlineStr">
        <is>
          <t>negative_expenditure_rows</t>
        </is>
      </c>
      <c r="B12" t="n">
        <v>768</v>
      </c>
      <c r="C12" t="inlineStr">
        <is>
          <t>REVIEW</t>
        </is>
      </c>
    </row>
    <row r="13">
      <c r="A13" t="inlineStr">
        <is>
          <t>fiscal_year_values</t>
        </is>
      </c>
      <c r="B13" t="n">
        <v>1</v>
      </c>
      <c r="C13" t="inlineStr">
        <is>
          <t>PASS</t>
        </is>
      </c>
    </row>
    <row r="14">
      <c r="A14" t="inlineStr">
        <is>
          <t>through_quarter_values</t>
        </is>
      </c>
      <c r="B14" t="n">
        <v>1</v>
      </c>
      <c r="C14" t="inlineStr">
        <is>
          <t>PASS</t>
        </is>
      </c>
    </row>
  </sheetData>
  <autoFilter ref="A4:C14"/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70" customWidth="1" min="3" max="3"/>
  </cols>
  <sheetData>
    <row r="1" ht="30" customHeight="1">
      <c r="A1" s="1" t="inlineStr">
        <is>
          <t>CORPORATE SCENARIO ASSUMPTIONS</t>
        </is>
      </c>
    </row>
    <row r="2" ht="32" customHeight="1">
      <c r="A2" s="2" t="inlineStr">
        <is>
          <t>Yellow cells are editable. Adjustments apply only to forecast months August–December 2026.</t>
        </is>
      </c>
    </row>
    <row r="4">
      <c r="A4" s="13" t="inlineStr">
        <is>
          <t>Revenue adjustment</t>
        </is>
      </c>
      <c r="B4" s="14" t="n">
        <v>0</v>
      </c>
      <c r="C4" t="inlineStr">
        <is>
          <t>Applied to future revenue</t>
        </is>
      </c>
    </row>
    <row r="5">
      <c r="A5" s="13" t="inlineStr">
        <is>
          <t>Cost inflation</t>
        </is>
      </c>
      <c r="B5" s="14" t="n">
        <v>0</v>
      </c>
      <c r="C5" t="inlineStr">
        <is>
          <t>Applied to future COGS and operating expense</t>
        </is>
      </c>
    </row>
    <row r="6">
      <c r="A6" s="13" t="inlineStr">
        <is>
          <t>Hiring-delay savings</t>
        </is>
      </c>
      <c r="B6" s="14" t="n">
        <v>0</v>
      </c>
      <c r="C6" t="inlineStr">
        <is>
          <t>Offsets future Product &amp; Engineering and G&amp;A costs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24" customWidth="1" min="4" max="4"/>
    <col width="24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30" customHeight="1">
      <c r="A1" s="1" t="inlineStr">
        <is>
          <t>SYNTHETIC CORPORATE PLAN</t>
        </is>
      </c>
    </row>
    <row r="2" ht="32" customHeight="1">
      <c r="A2" s="2" t="inlineStr">
        <is>
          <t>Seeded demonstration only. Scenario Amount and P&amp;L Variance are formula-driven from Scenario_Assumptions.</t>
        </is>
      </c>
    </row>
    <row r="4">
      <c r="A4" s="10" t="inlineStr">
        <is>
          <t>Month</t>
        </is>
      </c>
      <c r="B4" s="10" t="inlineStr">
        <is>
          <t>Period Status</t>
        </is>
      </c>
      <c r="C4" s="10" t="inlineStr">
        <is>
          <t>Business Unit</t>
        </is>
      </c>
      <c r="D4" s="10" t="inlineStr">
        <is>
          <t>Statement Group</t>
        </is>
      </c>
      <c r="E4" s="10" t="inlineStr">
        <is>
          <t>Line Item</t>
        </is>
      </c>
      <c r="F4" s="10" t="inlineStr">
        <is>
          <t>Budget Amount</t>
        </is>
      </c>
      <c r="G4" s="10" t="inlineStr">
        <is>
          <t>Actual Amount</t>
        </is>
      </c>
      <c r="H4" s="10" t="inlineStr">
        <is>
          <t>Base Forecast Amount</t>
        </is>
      </c>
      <c r="I4" s="15" t="inlineStr">
        <is>
          <t>Scenario Amount</t>
        </is>
      </c>
      <c r="J4" s="15" t="inlineStr">
        <is>
          <t>P&amp;L Variance to Budget</t>
        </is>
      </c>
    </row>
    <row r="5">
      <c r="A5" t="inlineStr">
        <is>
          <t>2026-01-01</t>
        </is>
      </c>
      <c r="B5" t="inlineStr">
        <is>
          <t>Actual</t>
        </is>
      </c>
      <c r="C5" t="inlineStr">
        <is>
          <t>Enterprise</t>
        </is>
      </c>
      <c r="D5" t="inlineStr">
        <is>
          <t>Revenue</t>
        </is>
      </c>
      <c r="E5" t="inlineStr">
        <is>
          <t>Subscription revenue</t>
        </is>
      </c>
      <c r="F5" s="11" t="n">
        <v>5280000</v>
      </c>
      <c r="G5" s="11" t="n">
        <v>5188222.65</v>
      </c>
      <c r="H5" s="11" t="n">
        <v>5188222.65</v>
      </c>
      <c r="I5" s="11">
        <f>IF(B5="Actual",H5,IF(D5="Revenue",H5*(1+Scenario_Assumptions!$B$4),H5*(1+Scenario_Assumptions!$B$5)*IF(OR(E5="Product &amp; engineering",E5="General &amp; administrative"),1-Scenario_Assumptions!$B$6,1)))</f>
        <v/>
      </c>
      <c r="J5" s="11">
        <f>(I5-F5)*IF(D5="Revenue",1,-1)</f>
        <v/>
      </c>
    </row>
    <row r="6">
      <c r="A6" t="inlineStr">
        <is>
          <t>2026-01-01</t>
        </is>
      </c>
      <c r="B6" t="inlineStr">
        <is>
          <t>Actual</t>
        </is>
      </c>
      <c r="C6" t="inlineStr">
        <is>
          <t>Enterprise</t>
        </is>
      </c>
      <c r="D6" t="inlineStr">
        <is>
          <t>Revenue</t>
        </is>
      </c>
      <c r="E6" t="inlineStr">
        <is>
          <t>Professional services revenue</t>
        </is>
      </c>
      <c r="F6" s="11" t="n">
        <v>1188000</v>
      </c>
      <c r="G6" s="11" t="n">
        <v>1168992.47</v>
      </c>
      <c r="H6" s="11" t="n">
        <v>1168992.47</v>
      </c>
      <c r="I6" s="11">
        <f>IF(B6="Actual",H6,IF(D6="Revenue",H6*(1+Scenario_Assumptions!$B$4),H6*(1+Scenario_Assumptions!$B$5)*IF(OR(E6="Product &amp; engineering",E6="General &amp; administrative"),1-Scenario_Assumptions!$B$6,1)))</f>
        <v/>
      </c>
      <c r="J6" s="11">
        <f>(I6-F6)*IF(D6="Revenue",1,-1)</f>
        <v/>
      </c>
    </row>
    <row r="7">
      <c r="A7" t="inlineStr">
        <is>
          <t>2026-01-01</t>
        </is>
      </c>
      <c r="B7" t="inlineStr">
        <is>
          <t>Actual</t>
        </is>
      </c>
      <c r="C7" t="inlineStr">
        <is>
          <t>Enterprise</t>
        </is>
      </c>
      <c r="D7" t="inlineStr">
        <is>
          <t>COGS</t>
        </is>
      </c>
      <c r="E7" t="inlineStr">
        <is>
          <t>Cloud hosting</t>
        </is>
      </c>
      <c r="F7" s="11" t="n">
        <v>858330</v>
      </c>
      <c r="G7" s="11" t="n">
        <v>921641.52</v>
      </c>
      <c r="H7" s="11" t="n">
        <v>921641.52</v>
      </c>
      <c r="I7" s="11">
        <f>IF(B7="Actual",H7,IF(D7="Revenue",H7*(1+Scenario_Assumptions!$B$4),H7*(1+Scenario_Assumptions!$B$5)*IF(OR(E7="Product &amp; engineering",E7="General &amp; administrative"),1-Scenario_Assumptions!$B$6,1)))</f>
        <v/>
      </c>
      <c r="J7" s="11">
        <f>(I7-F7)*IF(D7="Revenue",1,-1)</f>
        <v/>
      </c>
    </row>
    <row r="8">
      <c r="A8" t="inlineStr">
        <is>
          <t>2026-01-01</t>
        </is>
      </c>
      <c r="B8" t="inlineStr">
        <is>
          <t>Actual</t>
        </is>
      </c>
      <c r="C8" t="inlineStr">
        <is>
          <t>Enterprise</t>
        </is>
      </c>
      <c r="D8" t="inlineStr">
        <is>
          <t>COGS</t>
        </is>
      </c>
      <c r="E8" t="inlineStr">
        <is>
          <t>Customer support delivery</t>
        </is>
      </c>
      <c r="F8" s="11" t="n">
        <v>412335</v>
      </c>
      <c r="G8" s="11" t="n">
        <v>432339.07</v>
      </c>
      <c r="H8" s="11" t="n">
        <v>432339.07</v>
      </c>
      <c r="I8" s="11">
        <f>IF(B8="Actual",H8,IF(D8="Revenue",H8*(1+Scenario_Assumptions!$B$4),H8*(1+Scenario_Assumptions!$B$5)*IF(OR(E8="Product &amp; engineering",E8="General &amp; administrative"),1-Scenario_Assumptions!$B$6,1)))</f>
        <v/>
      </c>
      <c r="J8" s="11">
        <f>(I8-F8)*IF(D8="Revenue",1,-1)</f>
        <v/>
      </c>
    </row>
    <row r="9">
      <c r="A9" t="inlineStr">
        <is>
          <t>2026-01-01</t>
        </is>
      </c>
      <c r="B9" t="inlineStr">
        <is>
          <t>Actual</t>
        </is>
      </c>
      <c r="C9" t="inlineStr">
        <is>
          <t>Enterprise</t>
        </is>
      </c>
      <c r="D9" t="inlineStr">
        <is>
          <t>Operating expense</t>
        </is>
      </c>
      <c r="E9" t="inlineStr">
        <is>
          <t>Sales &amp; marketing</t>
        </is>
      </c>
      <c r="F9" s="11" t="n">
        <v>1312740</v>
      </c>
      <c r="G9" s="11" t="n">
        <v>1347165.45</v>
      </c>
      <c r="H9" s="11" t="n">
        <v>1347165.45</v>
      </c>
      <c r="I9" s="11">
        <f>IF(B9="Actual",H9,IF(D9="Revenue",H9*(1+Scenario_Assumptions!$B$4),H9*(1+Scenario_Assumptions!$B$5)*IF(OR(E9="Product &amp; engineering",E9="General &amp; administrative"),1-Scenario_Assumptions!$B$6,1)))</f>
        <v/>
      </c>
      <c r="J9" s="11">
        <f>(I9-F9)*IF(D9="Revenue",1,-1)</f>
        <v/>
      </c>
    </row>
    <row r="10">
      <c r="A10" t="inlineStr">
        <is>
          <t>2026-01-01</t>
        </is>
      </c>
      <c r="B10" t="inlineStr">
        <is>
          <t>Actual</t>
        </is>
      </c>
      <c r="C10" t="inlineStr">
        <is>
          <t>Enterprise</t>
        </is>
      </c>
      <c r="D10" t="inlineStr">
        <is>
          <t>Operating expense</t>
        </is>
      </c>
      <c r="E10" t="inlineStr">
        <is>
          <t>Product &amp; engineering</t>
        </is>
      </c>
      <c r="F10" s="11" t="n">
        <v>1571585.4</v>
      </c>
      <c r="G10" s="11" t="n">
        <v>1575428.73</v>
      </c>
      <c r="H10" s="11" t="n">
        <v>1575428.73</v>
      </c>
      <c r="I10" s="11">
        <f>IF(B10="Actual",H10,IF(D10="Revenue",H10*(1+Scenario_Assumptions!$B$4),H10*(1+Scenario_Assumptions!$B$5)*IF(OR(E10="Product &amp; engineering",E10="General &amp; administrative"),1-Scenario_Assumptions!$B$6,1)))</f>
        <v/>
      </c>
      <c r="J10" s="11">
        <f>(I10-F10)*IF(D10="Revenue",1,-1)</f>
        <v/>
      </c>
    </row>
    <row r="11">
      <c r="A11" t="inlineStr">
        <is>
          <t>2026-01-01</t>
        </is>
      </c>
      <c r="B11" t="inlineStr">
        <is>
          <t>Actual</t>
        </is>
      </c>
      <c r="C11" t="inlineStr">
        <is>
          <t>Enterprise</t>
        </is>
      </c>
      <c r="D11" t="inlineStr">
        <is>
          <t>Operating expense</t>
        </is>
      </c>
      <c r="E11" t="inlineStr">
        <is>
          <t>General &amp; administrative</t>
        </is>
      </c>
      <c r="F11" s="11" t="n">
        <v>723690</v>
      </c>
      <c r="G11" s="11" t="n">
        <v>722384.47</v>
      </c>
      <c r="H11" s="11" t="n">
        <v>722384.47</v>
      </c>
      <c r="I11" s="11">
        <f>IF(B11="Actual",H11,IF(D11="Revenue",H11*(1+Scenario_Assumptions!$B$4),H11*(1+Scenario_Assumptions!$B$5)*IF(OR(E11="Product &amp; engineering",E11="General &amp; administrative"),1-Scenario_Assumptions!$B$6,1)))</f>
        <v/>
      </c>
      <c r="J11" s="11">
        <f>(I11-F11)*IF(D11="Revenue",1,-1)</f>
        <v/>
      </c>
    </row>
    <row r="12">
      <c r="A12" t="inlineStr">
        <is>
          <t>2026-01-01</t>
        </is>
      </c>
      <c r="B12" t="inlineStr">
        <is>
          <t>Actual</t>
        </is>
      </c>
      <c r="C12" t="inlineStr">
        <is>
          <t>SMB</t>
        </is>
      </c>
      <c r="D12" t="inlineStr">
        <is>
          <t>Revenue</t>
        </is>
      </c>
      <c r="E12" t="inlineStr">
        <is>
          <t>Subscription revenue</t>
        </is>
      </c>
      <c r="F12" s="11" t="n">
        <v>3200000</v>
      </c>
      <c r="G12" s="11" t="n">
        <v>3094700.59</v>
      </c>
      <c r="H12" s="11" t="n">
        <v>3094700.59</v>
      </c>
      <c r="I12" s="11">
        <f>IF(B12="Actual",H12,IF(D12="Revenue",H12*(1+Scenario_Assumptions!$B$4),H12*(1+Scenario_Assumptions!$B$5)*IF(OR(E12="Product &amp; engineering",E12="General &amp; administrative"),1-Scenario_Assumptions!$B$6,1)))</f>
        <v/>
      </c>
      <c r="J12" s="11">
        <f>(I12-F12)*IF(D12="Revenue",1,-1)</f>
        <v/>
      </c>
    </row>
    <row r="13">
      <c r="A13" t="inlineStr">
        <is>
          <t>2026-01-01</t>
        </is>
      </c>
      <c r="B13" t="inlineStr">
        <is>
          <t>Actual</t>
        </is>
      </c>
      <c r="C13" t="inlineStr">
        <is>
          <t>SMB</t>
        </is>
      </c>
      <c r="D13" t="inlineStr">
        <is>
          <t>Revenue</t>
        </is>
      </c>
      <c r="E13" t="inlineStr">
        <is>
          <t>Professional services revenue</t>
        </is>
      </c>
      <c r="F13" s="11" t="n">
        <v>720000</v>
      </c>
      <c r="G13" s="11" t="n">
        <v>726897.58</v>
      </c>
      <c r="H13" s="11" t="n">
        <v>726897.58</v>
      </c>
      <c r="I13" s="11">
        <f>IF(B13="Actual",H13,IF(D13="Revenue",H13*(1+Scenario_Assumptions!$B$4),H13*(1+Scenario_Assumptions!$B$5)*IF(OR(E13="Product &amp; engineering",E13="General &amp; administrative"),1-Scenario_Assumptions!$B$6,1)))</f>
        <v/>
      </c>
      <c r="J13" s="11">
        <f>(I13-F13)*IF(D13="Revenue",1,-1)</f>
        <v/>
      </c>
    </row>
    <row r="14">
      <c r="A14" t="inlineStr">
        <is>
          <t>2026-01-01</t>
        </is>
      </c>
      <c r="B14" t="inlineStr">
        <is>
          <t>Actual</t>
        </is>
      </c>
      <c r="C14" t="inlineStr">
        <is>
          <t>SMB</t>
        </is>
      </c>
      <c r="D14" t="inlineStr">
        <is>
          <t>COGS</t>
        </is>
      </c>
      <c r="E14" t="inlineStr">
        <is>
          <t>Cloud hosting</t>
        </is>
      </c>
      <c r="F14" s="11" t="n">
        <v>520200</v>
      </c>
      <c r="G14" s="11" t="n">
        <v>537717.16</v>
      </c>
      <c r="H14" s="11" t="n">
        <v>537717.16</v>
      </c>
      <c r="I14" s="11">
        <f>IF(B14="Actual",H14,IF(D14="Revenue",H14*(1+Scenario_Assumptions!$B$4),H14*(1+Scenario_Assumptions!$B$5)*IF(OR(E14="Product &amp; engineering",E14="General &amp; administrative"),1-Scenario_Assumptions!$B$6,1)))</f>
        <v/>
      </c>
      <c r="J14" s="11">
        <f>(I14-F14)*IF(D14="Revenue",1,-1)</f>
        <v/>
      </c>
    </row>
    <row r="15">
      <c r="A15" t="inlineStr">
        <is>
          <t>2026-01-01</t>
        </is>
      </c>
      <c r="B15" t="inlineStr">
        <is>
          <t>Actual</t>
        </is>
      </c>
      <c r="C15" t="inlineStr">
        <is>
          <t>SMB</t>
        </is>
      </c>
      <c r="D15" t="inlineStr">
        <is>
          <t>COGS</t>
        </is>
      </c>
      <c r="E15" t="inlineStr">
        <is>
          <t>Customer support delivery</t>
        </is>
      </c>
      <c r="F15" s="11" t="n">
        <v>249900</v>
      </c>
      <c r="G15" s="11" t="n">
        <v>261641.54</v>
      </c>
      <c r="H15" s="11" t="n">
        <v>261641.54</v>
      </c>
      <c r="I15" s="11">
        <f>IF(B15="Actual",H15,IF(D15="Revenue",H15*(1+Scenario_Assumptions!$B$4),H15*(1+Scenario_Assumptions!$B$5)*IF(OR(E15="Product &amp; engineering",E15="General &amp; administrative"),1-Scenario_Assumptions!$B$6,1)))</f>
        <v/>
      </c>
      <c r="J15" s="11">
        <f>(I15-F15)*IF(D15="Revenue",1,-1)</f>
        <v/>
      </c>
    </row>
    <row r="16">
      <c r="A16" t="inlineStr">
        <is>
          <t>2026-01-01</t>
        </is>
      </c>
      <c r="B16" t="inlineStr">
        <is>
          <t>Actual</t>
        </is>
      </c>
      <c r="C16" t="inlineStr">
        <is>
          <t>SMB</t>
        </is>
      </c>
      <c r="D16" t="inlineStr">
        <is>
          <t>Operating expense</t>
        </is>
      </c>
      <c r="E16" t="inlineStr">
        <is>
          <t>Sales &amp; marketing</t>
        </is>
      </c>
      <c r="F16" s="11" t="n">
        <v>795600</v>
      </c>
      <c r="G16" s="11" t="n">
        <v>870740.28</v>
      </c>
      <c r="H16" s="11" t="n">
        <v>870740.28</v>
      </c>
      <c r="I16" s="11">
        <f>IF(B16="Actual",H16,IF(D16="Revenue",H16*(1+Scenario_Assumptions!$B$4),H16*(1+Scenario_Assumptions!$B$5)*IF(OR(E16="Product &amp; engineering",E16="General &amp; administrative"),1-Scenario_Assumptions!$B$6,1)))</f>
        <v/>
      </c>
      <c r="J16" s="11">
        <f>(I16-F16)*IF(D16="Revenue",1,-1)</f>
        <v/>
      </c>
    </row>
    <row r="17">
      <c r="A17" t="inlineStr">
        <is>
          <t>2026-01-01</t>
        </is>
      </c>
      <c r="B17" t="inlineStr">
        <is>
          <t>Actual</t>
        </is>
      </c>
      <c r="C17" t="inlineStr">
        <is>
          <t>SMB</t>
        </is>
      </c>
      <c r="D17" t="inlineStr">
        <is>
          <t>Operating expense</t>
        </is>
      </c>
      <c r="E17" t="inlineStr">
        <is>
          <t>Product &amp; engineering</t>
        </is>
      </c>
      <c r="F17" s="11" t="n">
        <v>952476</v>
      </c>
      <c r="G17" s="11" t="n">
        <v>987384.98</v>
      </c>
      <c r="H17" s="11" t="n">
        <v>987384.98</v>
      </c>
      <c r="I17" s="11">
        <f>IF(B17="Actual",H17,IF(D17="Revenue",H17*(1+Scenario_Assumptions!$B$4),H17*(1+Scenario_Assumptions!$B$5)*IF(OR(E17="Product &amp; engineering",E17="General &amp; administrative"),1-Scenario_Assumptions!$B$6,1)))</f>
        <v/>
      </c>
      <c r="J17" s="11">
        <f>(I17-F17)*IF(D17="Revenue",1,-1)</f>
        <v/>
      </c>
    </row>
    <row r="18">
      <c r="A18" t="inlineStr">
        <is>
          <t>2026-01-01</t>
        </is>
      </c>
      <c r="B18" t="inlineStr">
        <is>
          <t>Actual</t>
        </is>
      </c>
      <c r="C18" t="inlineStr">
        <is>
          <t>SMB</t>
        </is>
      </c>
      <c r="D18" t="inlineStr">
        <is>
          <t>Operating expense</t>
        </is>
      </c>
      <c r="E18" t="inlineStr">
        <is>
          <t>General &amp; administrative</t>
        </is>
      </c>
      <c r="F18" s="11" t="n">
        <v>438600</v>
      </c>
      <c r="G18" s="11" t="n">
        <v>448767.2</v>
      </c>
      <c r="H18" s="11" t="n">
        <v>448767.2</v>
      </c>
      <c r="I18" s="11">
        <f>IF(B18="Actual",H18,IF(D18="Revenue",H18*(1+Scenario_Assumptions!$B$4),H18*(1+Scenario_Assumptions!$B$5)*IF(OR(E18="Product &amp; engineering",E18="General &amp; administrative"),1-Scenario_Assumptions!$B$6,1)))</f>
        <v/>
      </c>
      <c r="J18" s="11">
        <f>(I18-F18)*IF(D18="Revenue",1,-1)</f>
        <v/>
      </c>
    </row>
    <row r="19">
      <c r="A19" t="inlineStr">
        <is>
          <t>2026-01-01</t>
        </is>
      </c>
      <c r="B19" t="inlineStr">
        <is>
          <t>Actual</t>
        </is>
      </c>
      <c r="C19" t="inlineStr">
        <is>
          <t>Customer Solutions</t>
        </is>
      </c>
      <c r="D19" t="inlineStr">
        <is>
          <t>Revenue</t>
        </is>
      </c>
      <c r="E19" t="inlineStr">
        <is>
          <t>Subscription revenue</t>
        </is>
      </c>
      <c r="F19" s="11" t="n">
        <v>2240000</v>
      </c>
      <c r="G19" s="11" t="n">
        <v>2210180.52</v>
      </c>
      <c r="H19" s="11" t="n">
        <v>2210180.52</v>
      </c>
      <c r="I19" s="11">
        <f>IF(B19="Actual",H19,IF(D19="Revenue",H19*(1+Scenario_Assumptions!$B$4),H19*(1+Scenario_Assumptions!$B$5)*IF(OR(E19="Product &amp; engineering",E19="General &amp; administrative"),1-Scenario_Assumptions!$B$6,1)))</f>
        <v/>
      </c>
      <c r="J19" s="11">
        <f>(I19-F19)*IF(D19="Revenue",1,-1)</f>
        <v/>
      </c>
    </row>
    <row r="20">
      <c r="A20" t="inlineStr">
        <is>
          <t>2026-01-01</t>
        </is>
      </c>
      <c r="B20" t="inlineStr">
        <is>
          <t>Actual</t>
        </is>
      </c>
      <c r="C20" t="inlineStr">
        <is>
          <t>Customer Solutions</t>
        </is>
      </c>
      <c r="D20" t="inlineStr">
        <is>
          <t>Revenue</t>
        </is>
      </c>
      <c r="E20" t="inlineStr">
        <is>
          <t>Professional services revenue</t>
        </is>
      </c>
      <c r="F20" s="11" t="n">
        <v>504000</v>
      </c>
      <c r="G20" s="11" t="n">
        <v>498212.91</v>
      </c>
      <c r="H20" s="11" t="n">
        <v>498212.91</v>
      </c>
      <c r="I20" s="11">
        <f>IF(B20="Actual",H20,IF(D20="Revenue",H20*(1+Scenario_Assumptions!$B$4),H20*(1+Scenario_Assumptions!$B$5)*IF(OR(E20="Product &amp; engineering",E20="General &amp; administrative"),1-Scenario_Assumptions!$B$6,1)))</f>
        <v/>
      </c>
      <c r="J20" s="11">
        <f>(I20-F20)*IF(D20="Revenue",1,-1)</f>
        <v/>
      </c>
    </row>
    <row r="21">
      <c r="A21" t="inlineStr">
        <is>
          <t>2026-01-01</t>
        </is>
      </c>
      <c r="B21" t="inlineStr">
        <is>
          <t>Actual</t>
        </is>
      </c>
      <c r="C21" t="inlineStr">
        <is>
          <t>Customer Solutions</t>
        </is>
      </c>
      <c r="D21" t="inlineStr">
        <is>
          <t>COGS</t>
        </is>
      </c>
      <c r="E21" t="inlineStr">
        <is>
          <t>Cloud hosting</t>
        </is>
      </c>
      <c r="F21" s="11" t="n">
        <v>364140</v>
      </c>
      <c r="G21" s="11" t="n">
        <v>387524.62</v>
      </c>
      <c r="H21" s="11" t="n">
        <v>387524.62</v>
      </c>
      <c r="I21" s="11">
        <f>IF(B21="Actual",H21,IF(D21="Revenue",H21*(1+Scenario_Assumptions!$B$4),H21*(1+Scenario_Assumptions!$B$5)*IF(OR(E21="Product &amp; engineering",E21="General &amp; administrative"),1-Scenario_Assumptions!$B$6,1)))</f>
        <v/>
      </c>
      <c r="J21" s="11">
        <f>(I21-F21)*IF(D21="Revenue",1,-1)</f>
        <v/>
      </c>
    </row>
    <row r="22">
      <c r="A22" t="inlineStr">
        <is>
          <t>2026-01-01</t>
        </is>
      </c>
      <c r="B22" t="inlineStr">
        <is>
          <t>Actual</t>
        </is>
      </c>
      <c r="C22" t="inlineStr">
        <is>
          <t>Customer Solutions</t>
        </is>
      </c>
      <c r="D22" t="inlineStr">
        <is>
          <t>COGS</t>
        </is>
      </c>
      <c r="E22" t="inlineStr">
        <is>
          <t>Customer support delivery</t>
        </is>
      </c>
      <c r="F22" s="11" t="n">
        <v>174930</v>
      </c>
      <c r="G22" s="11" t="n">
        <v>175109.82</v>
      </c>
      <c r="H22" s="11" t="n">
        <v>175109.82</v>
      </c>
      <c r="I22" s="11">
        <f>IF(B22="Actual",H22,IF(D22="Revenue",H22*(1+Scenario_Assumptions!$B$4),H22*(1+Scenario_Assumptions!$B$5)*IF(OR(E22="Product &amp; engineering",E22="General &amp; administrative"),1-Scenario_Assumptions!$B$6,1)))</f>
        <v/>
      </c>
      <c r="J22" s="11">
        <f>(I22-F22)*IF(D22="Revenue",1,-1)</f>
        <v/>
      </c>
    </row>
    <row r="23">
      <c r="A23" t="inlineStr">
        <is>
          <t>2026-01-01</t>
        </is>
      </c>
      <c r="B23" t="inlineStr">
        <is>
          <t>Actual</t>
        </is>
      </c>
      <c r="C23" t="inlineStr">
        <is>
          <t>Customer Solutions</t>
        </is>
      </c>
      <c r="D23" t="inlineStr">
        <is>
          <t>Operating expense</t>
        </is>
      </c>
      <c r="E23" t="inlineStr">
        <is>
          <t>Sales &amp; marketing</t>
        </is>
      </c>
      <c r="F23" s="11" t="n">
        <v>556920</v>
      </c>
      <c r="G23" s="11" t="n">
        <v>610919.66</v>
      </c>
      <c r="H23" s="11" t="n">
        <v>610919.66</v>
      </c>
      <c r="I23" s="11">
        <f>IF(B23="Actual",H23,IF(D23="Revenue",H23*(1+Scenario_Assumptions!$B$4),H23*(1+Scenario_Assumptions!$B$5)*IF(OR(E23="Product &amp; engineering",E23="General &amp; administrative"),1-Scenario_Assumptions!$B$6,1)))</f>
        <v/>
      </c>
      <c r="J23" s="11">
        <f>(I23-F23)*IF(D23="Revenue",1,-1)</f>
        <v/>
      </c>
    </row>
    <row r="24">
      <c r="A24" t="inlineStr">
        <is>
          <t>2026-01-01</t>
        </is>
      </c>
      <c r="B24" t="inlineStr">
        <is>
          <t>Actual</t>
        </is>
      </c>
      <c r="C24" t="inlineStr">
        <is>
          <t>Customer Solutions</t>
        </is>
      </c>
      <c r="D24" t="inlineStr">
        <is>
          <t>Operating expense</t>
        </is>
      </c>
      <c r="E24" t="inlineStr">
        <is>
          <t>Product &amp; engineering</t>
        </is>
      </c>
      <c r="F24" s="11" t="n">
        <v>666733.2</v>
      </c>
      <c r="G24" s="11" t="n">
        <v>689236.6800000001</v>
      </c>
      <c r="H24" s="11" t="n">
        <v>689236.6800000001</v>
      </c>
      <c r="I24" s="11">
        <f>IF(B24="Actual",H24,IF(D24="Revenue",H24*(1+Scenario_Assumptions!$B$4),H24*(1+Scenario_Assumptions!$B$5)*IF(OR(E24="Product &amp; engineering",E24="General &amp; administrative"),1-Scenario_Assumptions!$B$6,1)))</f>
        <v/>
      </c>
      <c r="J24" s="11">
        <f>(I24-F24)*IF(D24="Revenue",1,-1)</f>
        <v/>
      </c>
    </row>
    <row r="25">
      <c r="A25" t="inlineStr">
        <is>
          <t>2026-01-01</t>
        </is>
      </c>
      <c r="B25" t="inlineStr">
        <is>
          <t>Actual</t>
        </is>
      </c>
      <c r="C25" t="inlineStr">
        <is>
          <t>Customer Solutions</t>
        </is>
      </c>
      <c r="D25" t="inlineStr">
        <is>
          <t>Operating expense</t>
        </is>
      </c>
      <c r="E25" t="inlineStr">
        <is>
          <t>General &amp; administrative</t>
        </is>
      </c>
      <c r="F25" s="11" t="n">
        <v>307020</v>
      </c>
      <c r="G25" s="11" t="n">
        <v>304065.99</v>
      </c>
      <c r="H25" s="11" t="n">
        <v>304065.99</v>
      </c>
      <c r="I25" s="11">
        <f>IF(B25="Actual",H25,IF(D25="Revenue",H25*(1+Scenario_Assumptions!$B$4),H25*(1+Scenario_Assumptions!$B$5)*IF(OR(E25="Product &amp; engineering",E25="General &amp; administrative"),1-Scenario_Assumptions!$B$6,1)))</f>
        <v/>
      </c>
      <c r="J25" s="11">
        <f>(I25-F25)*IF(D25="Revenue",1,-1)</f>
        <v/>
      </c>
    </row>
    <row r="26">
      <c r="A26" t="inlineStr">
        <is>
          <t>2026-02-01</t>
        </is>
      </c>
      <c r="B26" t="inlineStr">
        <is>
          <t>Actual</t>
        </is>
      </c>
      <c r="C26" t="inlineStr">
        <is>
          <t>Enterprise</t>
        </is>
      </c>
      <c r="D26" t="inlineStr">
        <is>
          <t>Revenue</t>
        </is>
      </c>
      <c r="E26" t="inlineStr">
        <is>
          <t>Subscription revenue</t>
        </is>
      </c>
      <c r="F26" s="11" t="n">
        <v>5372400</v>
      </c>
      <c r="G26" s="11" t="n">
        <v>5146634.35</v>
      </c>
      <c r="H26" s="11" t="n">
        <v>5146634.35</v>
      </c>
      <c r="I26" s="11">
        <f>IF(B26="Actual",H26,IF(D26="Revenue",H26*(1+Scenario_Assumptions!$B$4),H26*(1+Scenario_Assumptions!$B$5)*IF(OR(E26="Product &amp; engineering",E26="General &amp; administrative"),1-Scenario_Assumptions!$B$6,1)))</f>
        <v/>
      </c>
      <c r="J26" s="11">
        <f>(I26-F26)*IF(D26="Revenue",1,-1)</f>
        <v/>
      </c>
    </row>
    <row r="27">
      <c r="A27" t="inlineStr">
        <is>
          <t>2026-02-01</t>
        </is>
      </c>
      <c r="B27" t="inlineStr">
        <is>
          <t>Actual</t>
        </is>
      </c>
      <c r="C27" t="inlineStr">
        <is>
          <t>Enterprise</t>
        </is>
      </c>
      <c r="D27" t="inlineStr">
        <is>
          <t>Revenue</t>
        </is>
      </c>
      <c r="E27" t="inlineStr">
        <is>
          <t>Professional services revenue</t>
        </is>
      </c>
      <c r="F27" s="11" t="n">
        <v>1208790</v>
      </c>
      <c r="G27" s="11" t="n">
        <v>1257822.79</v>
      </c>
      <c r="H27" s="11" t="n">
        <v>1257822.79</v>
      </c>
      <c r="I27" s="11">
        <f>IF(B27="Actual",H27,IF(D27="Revenue",H27*(1+Scenario_Assumptions!$B$4),H27*(1+Scenario_Assumptions!$B$5)*IF(OR(E27="Product &amp; engineering",E27="General &amp; administrative"),1-Scenario_Assumptions!$B$6,1)))</f>
        <v/>
      </c>
      <c r="J27" s="11">
        <f>(I27-F27)*IF(D27="Revenue",1,-1)</f>
        <v/>
      </c>
    </row>
    <row r="28">
      <c r="A28" t="inlineStr">
        <is>
          <t>2026-02-01</t>
        </is>
      </c>
      <c r="B28" t="inlineStr">
        <is>
          <t>Actual</t>
        </is>
      </c>
      <c r="C28" t="inlineStr">
        <is>
          <t>Enterprise</t>
        </is>
      </c>
      <c r="D28" t="inlineStr">
        <is>
          <t>COGS</t>
        </is>
      </c>
      <c r="E28" t="inlineStr">
        <is>
          <t>Cloud hosting</t>
        </is>
      </c>
      <c r="F28" s="11" t="n">
        <v>841500</v>
      </c>
      <c r="G28" s="11" t="n">
        <v>884531.59</v>
      </c>
      <c r="H28" s="11" t="n">
        <v>884531.59</v>
      </c>
      <c r="I28" s="11">
        <f>IF(B28="Actual",H28,IF(D28="Revenue",H28*(1+Scenario_Assumptions!$B$4),H28*(1+Scenario_Assumptions!$B$5)*IF(OR(E28="Product &amp; engineering",E28="General &amp; administrative"),1-Scenario_Assumptions!$B$6,1)))</f>
        <v/>
      </c>
      <c r="J28" s="11">
        <f>(I28-F28)*IF(D28="Revenue",1,-1)</f>
        <v/>
      </c>
    </row>
    <row r="29">
      <c r="A29" t="inlineStr">
        <is>
          <t>2026-02-01</t>
        </is>
      </c>
      <c r="B29" t="inlineStr">
        <is>
          <t>Actual</t>
        </is>
      </c>
      <c r="C29" t="inlineStr">
        <is>
          <t>Enterprise</t>
        </is>
      </c>
      <c r="D29" t="inlineStr">
        <is>
          <t>COGS</t>
        </is>
      </c>
      <c r="E29" t="inlineStr">
        <is>
          <t>Customer support delivery</t>
        </is>
      </c>
      <c r="F29" s="11" t="n">
        <v>404250</v>
      </c>
      <c r="G29" s="11" t="n">
        <v>410027.46</v>
      </c>
      <c r="H29" s="11" t="n">
        <v>410027.46</v>
      </c>
      <c r="I29" s="11">
        <f>IF(B29="Actual",H29,IF(D29="Revenue",H29*(1+Scenario_Assumptions!$B$4),H29*(1+Scenario_Assumptions!$B$5)*IF(OR(E29="Product &amp; engineering",E29="General &amp; administrative"),1-Scenario_Assumptions!$B$6,1)))</f>
        <v/>
      </c>
      <c r="J29" s="11">
        <f>(I29-F29)*IF(D29="Revenue",1,-1)</f>
        <v/>
      </c>
    </row>
    <row r="30">
      <c r="A30" t="inlineStr">
        <is>
          <t>2026-02-01</t>
        </is>
      </c>
      <c r="B30" t="inlineStr">
        <is>
          <t>Actual</t>
        </is>
      </c>
      <c r="C30" t="inlineStr">
        <is>
          <t>Enterprise</t>
        </is>
      </c>
      <c r="D30" t="inlineStr">
        <is>
          <t>Operating expense</t>
        </is>
      </c>
      <c r="E30" t="inlineStr">
        <is>
          <t>Sales &amp; marketing</t>
        </is>
      </c>
      <c r="F30" s="11" t="n">
        <v>1287000</v>
      </c>
      <c r="G30" s="11" t="n">
        <v>1372195.1</v>
      </c>
      <c r="H30" s="11" t="n">
        <v>1372195.1</v>
      </c>
      <c r="I30" s="11">
        <f>IF(B30="Actual",H30,IF(D30="Revenue",H30*(1+Scenario_Assumptions!$B$4),H30*(1+Scenario_Assumptions!$B$5)*IF(OR(E30="Product &amp; engineering",E30="General &amp; administrative"),1-Scenario_Assumptions!$B$6,1)))</f>
        <v/>
      </c>
      <c r="J30" s="11">
        <f>(I30-F30)*IF(D30="Revenue",1,-1)</f>
        <v/>
      </c>
    </row>
    <row r="31">
      <c r="A31" t="inlineStr">
        <is>
          <t>2026-02-01</t>
        </is>
      </c>
      <c r="B31" t="inlineStr">
        <is>
          <t>Actual</t>
        </is>
      </c>
      <c r="C31" t="inlineStr">
        <is>
          <t>Enterprise</t>
        </is>
      </c>
      <c r="D31" t="inlineStr">
        <is>
          <t>Operating expense</t>
        </is>
      </c>
      <c r="E31" t="inlineStr">
        <is>
          <t>Product &amp; engineering</t>
        </is>
      </c>
      <c r="F31" s="11" t="n">
        <v>1563540</v>
      </c>
      <c r="G31" s="11" t="n">
        <v>1639071.07</v>
      </c>
      <c r="H31" s="11" t="n">
        <v>1639071.07</v>
      </c>
      <c r="I31" s="11">
        <f>IF(B31="Actual",H31,IF(D31="Revenue",H31*(1+Scenario_Assumptions!$B$4),H31*(1+Scenario_Assumptions!$B$5)*IF(OR(E31="Product &amp; engineering",E31="General &amp; administrative"),1-Scenario_Assumptions!$B$6,1)))</f>
        <v/>
      </c>
      <c r="J31" s="11">
        <f>(I31-F31)*IF(D31="Revenue",1,-1)</f>
        <v/>
      </c>
    </row>
    <row r="32">
      <c r="A32" t="inlineStr">
        <is>
          <t>2026-02-01</t>
        </is>
      </c>
      <c r="B32" t="inlineStr">
        <is>
          <t>Actual</t>
        </is>
      </c>
      <c r="C32" t="inlineStr">
        <is>
          <t>Enterprise</t>
        </is>
      </c>
      <c r="D32" t="inlineStr">
        <is>
          <t>Operating expense</t>
        </is>
      </c>
      <c r="E32" t="inlineStr">
        <is>
          <t>General &amp; administrative</t>
        </is>
      </c>
      <c r="F32" s="11" t="n">
        <v>709500</v>
      </c>
      <c r="G32" s="11" t="n">
        <v>712434.5600000001</v>
      </c>
      <c r="H32" s="11" t="n">
        <v>712434.5600000001</v>
      </c>
      <c r="I32" s="11">
        <f>IF(B32="Actual",H32,IF(D32="Revenue",H32*(1+Scenario_Assumptions!$B$4),H32*(1+Scenario_Assumptions!$B$5)*IF(OR(E32="Product &amp; engineering",E32="General &amp; administrative"),1-Scenario_Assumptions!$B$6,1)))</f>
        <v/>
      </c>
      <c r="J32" s="11">
        <f>(I32-F32)*IF(D32="Revenue",1,-1)</f>
        <v/>
      </c>
    </row>
    <row r="33">
      <c r="A33" t="inlineStr">
        <is>
          <t>2026-02-01</t>
        </is>
      </c>
      <c r="B33" t="inlineStr">
        <is>
          <t>Actual</t>
        </is>
      </c>
      <c r="C33" t="inlineStr">
        <is>
          <t>SMB</t>
        </is>
      </c>
      <c r="D33" t="inlineStr">
        <is>
          <t>Revenue</t>
        </is>
      </c>
      <c r="E33" t="inlineStr">
        <is>
          <t>Subscription revenue</t>
        </is>
      </c>
      <c r="F33" s="11" t="n">
        <v>3256000</v>
      </c>
      <c r="G33" s="11" t="n">
        <v>3208196.43</v>
      </c>
      <c r="H33" s="11" t="n">
        <v>3208196.43</v>
      </c>
      <c r="I33" s="11">
        <f>IF(B33="Actual",H33,IF(D33="Revenue",H33*(1+Scenario_Assumptions!$B$4),H33*(1+Scenario_Assumptions!$B$5)*IF(OR(E33="Product &amp; engineering",E33="General &amp; administrative"),1-Scenario_Assumptions!$B$6,1)))</f>
        <v/>
      </c>
      <c r="J33" s="11">
        <f>(I33-F33)*IF(D33="Revenue",1,-1)</f>
        <v/>
      </c>
    </row>
    <row r="34">
      <c r="A34" t="inlineStr">
        <is>
          <t>2026-02-01</t>
        </is>
      </c>
      <c r="B34" t="inlineStr">
        <is>
          <t>Actual</t>
        </is>
      </c>
      <c r="C34" t="inlineStr">
        <is>
          <t>SMB</t>
        </is>
      </c>
      <c r="D34" t="inlineStr">
        <is>
          <t>Revenue</t>
        </is>
      </c>
      <c r="E34" t="inlineStr">
        <is>
          <t>Professional services revenue</t>
        </is>
      </c>
      <c r="F34" s="11" t="n">
        <v>732600</v>
      </c>
      <c r="G34" s="11" t="n">
        <v>747816.49</v>
      </c>
      <c r="H34" s="11" t="n">
        <v>747816.49</v>
      </c>
      <c r="I34" s="11">
        <f>IF(B34="Actual",H34,IF(D34="Revenue",H34*(1+Scenario_Assumptions!$B$4),H34*(1+Scenario_Assumptions!$B$5)*IF(OR(E34="Product &amp; engineering",E34="General &amp; administrative"),1-Scenario_Assumptions!$B$6,1)))</f>
        <v/>
      </c>
      <c r="J34" s="11">
        <f>(I34-F34)*IF(D34="Revenue",1,-1)</f>
        <v/>
      </c>
    </row>
    <row r="35">
      <c r="A35" t="inlineStr">
        <is>
          <t>2026-02-01</t>
        </is>
      </c>
      <c r="B35" t="inlineStr">
        <is>
          <t>Actual</t>
        </is>
      </c>
      <c r="C35" t="inlineStr">
        <is>
          <t>SMB</t>
        </is>
      </c>
      <c r="D35" t="inlineStr">
        <is>
          <t>COGS</t>
        </is>
      </c>
      <c r="E35" t="inlineStr">
        <is>
          <t>Cloud hosting</t>
        </is>
      </c>
      <c r="F35" s="11" t="n">
        <v>510000</v>
      </c>
      <c r="G35" s="11" t="n">
        <v>565356.01</v>
      </c>
      <c r="H35" s="11" t="n">
        <v>565356.01</v>
      </c>
      <c r="I35" s="11">
        <f>IF(B35="Actual",H35,IF(D35="Revenue",H35*(1+Scenario_Assumptions!$B$4),H35*(1+Scenario_Assumptions!$B$5)*IF(OR(E35="Product &amp; engineering",E35="General &amp; administrative"),1-Scenario_Assumptions!$B$6,1)))</f>
        <v/>
      </c>
      <c r="J35" s="11">
        <f>(I35-F35)*IF(D35="Revenue",1,-1)</f>
        <v/>
      </c>
    </row>
    <row r="36">
      <c r="A36" t="inlineStr">
        <is>
          <t>2026-02-01</t>
        </is>
      </c>
      <c r="B36" t="inlineStr">
        <is>
          <t>Actual</t>
        </is>
      </c>
      <c r="C36" t="inlineStr">
        <is>
          <t>SMB</t>
        </is>
      </c>
      <c r="D36" t="inlineStr">
        <is>
          <t>COGS</t>
        </is>
      </c>
      <c r="E36" t="inlineStr">
        <is>
          <t>Customer support delivery</t>
        </is>
      </c>
      <c r="F36" s="11" t="n">
        <v>245000</v>
      </c>
      <c r="G36" s="11" t="n">
        <v>248635.71</v>
      </c>
      <c r="H36" s="11" t="n">
        <v>248635.71</v>
      </c>
      <c r="I36" s="11">
        <f>IF(B36="Actual",H36,IF(D36="Revenue",H36*(1+Scenario_Assumptions!$B$4),H36*(1+Scenario_Assumptions!$B$5)*IF(OR(E36="Product &amp; engineering",E36="General &amp; administrative"),1-Scenario_Assumptions!$B$6,1)))</f>
        <v/>
      </c>
      <c r="J36" s="11">
        <f>(I36-F36)*IF(D36="Revenue",1,-1)</f>
        <v/>
      </c>
    </row>
    <row r="37">
      <c r="A37" t="inlineStr">
        <is>
          <t>2026-02-01</t>
        </is>
      </c>
      <c r="B37" t="inlineStr">
        <is>
          <t>Actual</t>
        </is>
      </c>
      <c r="C37" t="inlineStr">
        <is>
          <t>SMB</t>
        </is>
      </c>
      <c r="D37" t="inlineStr">
        <is>
          <t>Operating expense</t>
        </is>
      </c>
      <c r="E37" t="inlineStr">
        <is>
          <t>Sales &amp; marketing</t>
        </is>
      </c>
      <c r="F37" s="11" t="n">
        <v>780000</v>
      </c>
      <c r="G37" s="11" t="n">
        <v>828511.27</v>
      </c>
      <c r="H37" s="11" t="n">
        <v>828511.27</v>
      </c>
      <c r="I37" s="11">
        <f>IF(B37="Actual",H37,IF(D37="Revenue",H37*(1+Scenario_Assumptions!$B$4),H37*(1+Scenario_Assumptions!$B$5)*IF(OR(E37="Product &amp; engineering",E37="General &amp; administrative"),1-Scenario_Assumptions!$B$6,1)))</f>
        <v/>
      </c>
      <c r="J37" s="11">
        <f>(I37-F37)*IF(D37="Revenue",1,-1)</f>
        <v/>
      </c>
    </row>
    <row r="38">
      <c r="A38" t="inlineStr">
        <is>
          <t>2026-02-01</t>
        </is>
      </c>
      <c r="B38" t="inlineStr">
        <is>
          <t>Actual</t>
        </is>
      </c>
      <c r="C38" t="inlineStr">
        <is>
          <t>SMB</t>
        </is>
      </c>
      <c r="D38" t="inlineStr">
        <is>
          <t>Operating expense</t>
        </is>
      </c>
      <c r="E38" t="inlineStr">
        <is>
          <t>Product &amp; engineering</t>
        </is>
      </c>
      <c r="F38" s="11" t="n">
        <v>947600</v>
      </c>
      <c r="G38" s="11" t="n">
        <v>961487.72</v>
      </c>
      <c r="H38" s="11" t="n">
        <v>961487.72</v>
      </c>
      <c r="I38" s="11">
        <f>IF(B38="Actual",H38,IF(D38="Revenue",H38*(1+Scenario_Assumptions!$B$4),H38*(1+Scenario_Assumptions!$B$5)*IF(OR(E38="Product &amp; engineering",E38="General &amp; administrative"),1-Scenario_Assumptions!$B$6,1)))</f>
        <v/>
      </c>
      <c r="J38" s="11">
        <f>(I38-F38)*IF(D38="Revenue",1,-1)</f>
        <v/>
      </c>
    </row>
    <row r="39">
      <c r="A39" t="inlineStr">
        <is>
          <t>2026-02-01</t>
        </is>
      </c>
      <c r="B39" t="inlineStr">
        <is>
          <t>Actual</t>
        </is>
      </c>
      <c r="C39" t="inlineStr">
        <is>
          <t>SMB</t>
        </is>
      </c>
      <c r="D39" t="inlineStr">
        <is>
          <t>Operating expense</t>
        </is>
      </c>
      <c r="E39" t="inlineStr">
        <is>
          <t>General &amp; administrative</t>
        </is>
      </c>
      <c r="F39" s="11" t="n">
        <v>430000</v>
      </c>
      <c r="G39" s="11" t="n">
        <v>434471.78</v>
      </c>
      <c r="H39" s="11" t="n">
        <v>434471.78</v>
      </c>
      <c r="I39" s="11">
        <f>IF(B39="Actual",H39,IF(D39="Revenue",H39*(1+Scenario_Assumptions!$B$4),H39*(1+Scenario_Assumptions!$B$5)*IF(OR(E39="Product &amp; engineering",E39="General &amp; administrative"),1-Scenario_Assumptions!$B$6,1)))</f>
        <v/>
      </c>
      <c r="J39" s="11">
        <f>(I39-F39)*IF(D39="Revenue",1,-1)</f>
        <v/>
      </c>
    </row>
    <row r="40">
      <c r="A40" t="inlineStr">
        <is>
          <t>2026-02-01</t>
        </is>
      </c>
      <c r="B40" t="inlineStr">
        <is>
          <t>Actual</t>
        </is>
      </c>
      <c r="C40" t="inlineStr">
        <is>
          <t>Customer Solutions</t>
        </is>
      </c>
      <c r="D40" t="inlineStr">
        <is>
          <t>Revenue</t>
        </is>
      </c>
      <c r="E40" t="inlineStr">
        <is>
          <t>Subscription revenue</t>
        </is>
      </c>
      <c r="F40" s="11" t="n">
        <v>2279200</v>
      </c>
      <c r="G40" s="11" t="n">
        <v>2286548.84</v>
      </c>
      <c r="H40" s="11" t="n">
        <v>2286548.84</v>
      </c>
      <c r="I40" s="11">
        <f>IF(B40="Actual",H40,IF(D40="Revenue",H40*(1+Scenario_Assumptions!$B$4),H40*(1+Scenario_Assumptions!$B$5)*IF(OR(E40="Product &amp; engineering",E40="General &amp; administrative"),1-Scenario_Assumptions!$B$6,1)))</f>
        <v/>
      </c>
      <c r="J40" s="11">
        <f>(I40-F40)*IF(D40="Revenue",1,-1)</f>
        <v/>
      </c>
    </row>
    <row r="41">
      <c r="A41" t="inlineStr">
        <is>
          <t>2026-02-01</t>
        </is>
      </c>
      <c r="B41" t="inlineStr">
        <is>
          <t>Actual</t>
        </is>
      </c>
      <c r="C41" t="inlineStr">
        <is>
          <t>Customer Solutions</t>
        </is>
      </c>
      <c r="D41" t="inlineStr">
        <is>
          <t>Revenue</t>
        </is>
      </c>
      <c r="E41" t="inlineStr">
        <is>
          <t>Professional services revenue</t>
        </is>
      </c>
      <c r="F41" s="11" t="n">
        <v>512820</v>
      </c>
      <c r="G41" s="11" t="n">
        <v>516487.34</v>
      </c>
      <c r="H41" s="11" t="n">
        <v>516487.34</v>
      </c>
      <c r="I41" s="11">
        <f>IF(B41="Actual",H41,IF(D41="Revenue",H41*(1+Scenario_Assumptions!$B$4),H41*(1+Scenario_Assumptions!$B$5)*IF(OR(E41="Product &amp; engineering",E41="General &amp; administrative"),1-Scenario_Assumptions!$B$6,1)))</f>
        <v/>
      </c>
      <c r="J41" s="11">
        <f>(I41-F41)*IF(D41="Revenue",1,-1)</f>
        <v/>
      </c>
    </row>
    <row r="42">
      <c r="A42" t="inlineStr">
        <is>
          <t>2026-02-01</t>
        </is>
      </c>
      <c r="B42" t="inlineStr">
        <is>
          <t>Actual</t>
        </is>
      </c>
      <c r="C42" t="inlineStr">
        <is>
          <t>Customer Solutions</t>
        </is>
      </c>
      <c r="D42" t="inlineStr">
        <is>
          <t>COGS</t>
        </is>
      </c>
      <c r="E42" t="inlineStr">
        <is>
          <t>Cloud hosting</t>
        </is>
      </c>
      <c r="F42" s="11" t="n">
        <v>357000</v>
      </c>
      <c r="G42" s="11" t="n">
        <v>369136.6</v>
      </c>
      <c r="H42" s="11" t="n">
        <v>369136.6</v>
      </c>
      <c r="I42" s="11">
        <f>IF(B42="Actual",H42,IF(D42="Revenue",H42*(1+Scenario_Assumptions!$B$4),H42*(1+Scenario_Assumptions!$B$5)*IF(OR(E42="Product &amp; engineering",E42="General &amp; administrative"),1-Scenario_Assumptions!$B$6,1)))</f>
        <v/>
      </c>
      <c r="J42" s="11">
        <f>(I42-F42)*IF(D42="Revenue",1,-1)</f>
        <v/>
      </c>
    </row>
    <row r="43">
      <c r="A43" t="inlineStr">
        <is>
          <t>2026-02-01</t>
        </is>
      </c>
      <c r="B43" t="inlineStr">
        <is>
          <t>Actual</t>
        </is>
      </c>
      <c r="C43" t="inlineStr">
        <is>
          <t>Customer Solutions</t>
        </is>
      </c>
      <c r="D43" t="inlineStr">
        <is>
          <t>COGS</t>
        </is>
      </c>
      <c r="E43" t="inlineStr">
        <is>
          <t>Customer support delivery</t>
        </is>
      </c>
      <c r="F43" s="11" t="n">
        <v>171500</v>
      </c>
      <c r="G43" s="11" t="n">
        <v>172252.54</v>
      </c>
      <c r="H43" s="11" t="n">
        <v>172252.54</v>
      </c>
      <c r="I43" s="11">
        <f>IF(B43="Actual",H43,IF(D43="Revenue",H43*(1+Scenario_Assumptions!$B$4),H43*(1+Scenario_Assumptions!$B$5)*IF(OR(E43="Product &amp; engineering",E43="General &amp; administrative"),1-Scenario_Assumptions!$B$6,1)))</f>
        <v/>
      </c>
      <c r="J43" s="11">
        <f>(I43-F43)*IF(D43="Revenue",1,-1)</f>
        <v/>
      </c>
    </row>
    <row r="44">
      <c r="A44" t="inlineStr">
        <is>
          <t>2026-02-01</t>
        </is>
      </c>
      <c r="B44" t="inlineStr">
        <is>
          <t>Actual</t>
        </is>
      </c>
      <c r="C44" t="inlineStr">
        <is>
          <t>Customer Solutions</t>
        </is>
      </c>
      <c r="D44" t="inlineStr">
        <is>
          <t>Operating expense</t>
        </is>
      </c>
      <c r="E44" t="inlineStr">
        <is>
          <t>Sales &amp; marketing</t>
        </is>
      </c>
      <c r="F44" s="11" t="n">
        <v>546000</v>
      </c>
      <c r="G44" s="11" t="n">
        <v>595830.59</v>
      </c>
      <c r="H44" s="11" t="n">
        <v>595830.59</v>
      </c>
      <c r="I44" s="11">
        <f>IF(B44="Actual",H44,IF(D44="Revenue",H44*(1+Scenario_Assumptions!$B$4),H44*(1+Scenario_Assumptions!$B$5)*IF(OR(E44="Product &amp; engineering",E44="General &amp; administrative"),1-Scenario_Assumptions!$B$6,1)))</f>
        <v/>
      </c>
      <c r="J44" s="11">
        <f>(I44-F44)*IF(D44="Revenue",1,-1)</f>
        <v/>
      </c>
    </row>
    <row r="45">
      <c r="A45" t="inlineStr">
        <is>
          <t>2026-02-01</t>
        </is>
      </c>
      <c r="B45" t="inlineStr">
        <is>
          <t>Actual</t>
        </is>
      </c>
      <c r="C45" t="inlineStr">
        <is>
          <t>Customer Solutions</t>
        </is>
      </c>
      <c r="D45" t="inlineStr">
        <is>
          <t>Operating expense</t>
        </is>
      </c>
      <c r="E45" t="inlineStr">
        <is>
          <t>Product &amp; engineering</t>
        </is>
      </c>
      <c r="F45" s="11" t="n">
        <v>663320</v>
      </c>
      <c r="G45" s="11" t="n">
        <v>698861.58</v>
      </c>
      <c r="H45" s="11" t="n">
        <v>698861.58</v>
      </c>
      <c r="I45" s="11">
        <f>IF(B45="Actual",H45,IF(D45="Revenue",H45*(1+Scenario_Assumptions!$B$4),H45*(1+Scenario_Assumptions!$B$5)*IF(OR(E45="Product &amp; engineering",E45="General &amp; administrative"),1-Scenario_Assumptions!$B$6,1)))</f>
        <v/>
      </c>
      <c r="J45" s="11">
        <f>(I45-F45)*IF(D45="Revenue",1,-1)</f>
        <v/>
      </c>
    </row>
    <row r="46">
      <c r="A46" t="inlineStr">
        <is>
          <t>2026-02-01</t>
        </is>
      </c>
      <c r="B46" t="inlineStr">
        <is>
          <t>Actual</t>
        </is>
      </c>
      <c r="C46" t="inlineStr">
        <is>
          <t>Customer Solutions</t>
        </is>
      </c>
      <c r="D46" t="inlineStr">
        <is>
          <t>Operating expense</t>
        </is>
      </c>
      <c r="E46" t="inlineStr">
        <is>
          <t>General &amp; administrative</t>
        </is>
      </c>
      <c r="F46" s="11" t="n">
        <v>301000</v>
      </c>
      <c r="G46" s="11" t="n">
        <v>303582.24</v>
      </c>
      <c r="H46" s="11" t="n">
        <v>303582.24</v>
      </c>
      <c r="I46" s="11">
        <f>IF(B46="Actual",H46,IF(D46="Revenue",H46*(1+Scenario_Assumptions!$B$4),H46*(1+Scenario_Assumptions!$B$5)*IF(OR(E46="Product &amp; engineering",E46="General &amp; administrative"),1-Scenario_Assumptions!$B$6,1)))</f>
        <v/>
      </c>
      <c r="J46" s="11">
        <f>(I46-F46)*IF(D46="Revenue",1,-1)</f>
        <v/>
      </c>
    </row>
    <row r="47">
      <c r="A47" t="inlineStr">
        <is>
          <t>2026-03-01</t>
        </is>
      </c>
      <c r="B47" t="inlineStr">
        <is>
          <t>Actual</t>
        </is>
      </c>
      <c r="C47" t="inlineStr">
        <is>
          <t>Enterprise</t>
        </is>
      </c>
      <c r="D47" t="inlineStr">
        <is>
          <t>Revenue</t>
        </is>
      </c>
      <c r="E47" t="inlineStr">
        <is>
          <t>Subscription revenue</t>
        </is>
      </c>
      <c r="F47" s="11" t="n">
        <v>5440041.49</v>
      </c>
      <c r="G47" s="11" t="n">
        <v>5213530.45</v>
      </c>
      <c r="H47" s="11" t="n">
        <v>5213530.45</v>
      </c>
      <c r="I47" s="11">
        <f>IF(B47="Actual",H47,IF(D47="Revenue",H47*(1+Scenario_Assumptions!$B$4),H47*(1+Scenario_Assumptions!$B$5)*IF(OR(E47="Product &amp; engineering",E47="General &amp; administrative"),1-Scenario_Assumptions!$B$6,1)))</f>
        <v/>
      </c>
      <c r="J47" s="11">
        <f>(I47-F47)*IF(D47="Revenue",1,-1)</f>
        <v/>
      </c>
    </row>
    <row r="48">
      <c r="A48" t="inlineStr">
        <is>
          <t>2026-03-01</t>
        </is>
      </c>
      <c r="B48" t="inlineStr">
        <is>
          <t>Actual</t>
        </is>
      </c>
      <c r="C48" t="inlineStr">
        <is>
          <t>Enterprise</t>
        </is>
      </c>
      <c r="D48" t="inlineStr">
        <is>
          <t>Revenue</t>
        </is>
      </c>
      <c r="E48" t="inlineStr">
        <is>
          <t>Professional services revenue</t>
        </is>
      </c>
      <c r="F48" s="11" t="n">
        <v>1224009.34</v>
      </c>
      <c r="G48" s="11" t="n">
        <v>1243353.62</v>
      </c>
      <c r="H48" s="11" t="n">
        <v>1243353.62</v>
      </c>
      <c r="I48" s="11">
        <f>IF(B48="Actual",H48,IF(D48="Revenue",H48*(1+Scenario_Assumptions!$B$4),H48*(1+Scenario_Assumptions!$B$5)*IF(OR(E48="Product &amp; engineering",E48="General &amp; administrative"),1-Scenario_Assumptions!$B$6,1)))</f>
        <v/>
      </c>
      <c r="J48" s="11">
        <f>(I48-F48)*IF(D48="Revenue",1,-1)</f>
        <v/>
      </c>
    </row>
    <row r="49">
      <c r="A49" t="inlineStr">
        <is>
          <t>2026-03-01</t>
        </is>
      </c>
      <c r="B49" t="inlineStr">
        <is>
          <t>Actual</t>
        </is>
      </c>
      <c r="C49" t="inlineStr">
        <is>
          <t>Enterprise</t>
        </is>
      </c>
      <c r="D49" t="inlineStr">
        <is>
          <t>COGS</t>
        </is>
      </c>
      <c r="E49" t="inlineStr">
        <is>
          <t>Cloud hosting</t>
        </is>
      </c>
      <c r="F49" s="11" t="n">
        <v>841500</v>
      </c>
      <c r="G49" s="11" t="n">
        <v>890237.28</v>
      </c>
      <c r="H49" s="11" t="n">
        <v>890237.28</v>
      </c>
      <c r="I49" s="11">
        <f>IF(B49="Actual",H49,IF(D49="Revenue",H49*(1+Scenario_Assumptions!$B$4),H49*(1+Scenario_Assumptions!$B$5)*IF(OR(E49="Product &amp; engineering",E49="General &amp; administrative"),1-Scenario_Assumptions!$B$6,1)))</f>
        <v/>
      </c>
      <c r="J49" s="11">
        <f>(I49-F49)*IF(D49="Revenue",1,-1)</f>
        <v/>
      </c>
    </row>
    <row r="50">
      <c r="A50" t="inlineStr">
        <is>
          <t>2026-03-01</t>
        </is>
      </c>
      <c r="B50" t="inlineStr">
        <is>
          <t>Actual</t>
        </is>
      </c>
      <c r="C50" t="inlineStr">
        <is>
          <t>Enterprise</t>
        </is>
      </c>
      <c r="D50" t="inlineStr">
        <is>
          <t>COGS</t>
        </is>
      </c>
      <c r="E50" t="inlineStr">
        <is>
          <t>Customer support delivery</t>
        </is>
      </c>
      <c r="F50" s="11" t="n">
        <v>404250</v>
      </c>
      <c r="G50" s="11" t="n">
        <v>416566.37</v>
      </c>
      <c r="H50" s="11" t="n">
        <v>416566.37</v>
      </c>
      <c r="I50" s="11">
        <f>IF(B50="Actual",H50,IF(D50="Revenue",H50*(1+Scenario_Assumptions!$B$4),H50*(1+Scenario_Assumptions!$B$5)*IF(OR(E50="Product &amp; engineering",E50="General &amp; administrative"),1-Scenario_Assumptions!$B$6,1)))</f>
        <v/>
      </c>
      <c r="J50" s="11">
        <f>(I50-F50)*IF(D50="Revenue",1,-1)</f>
        <v/>
      </c>
    </row>
    <row r="51">
      <c r="A51" t="inlineStr">
        <is>
          <t>2026-03-01</t>
        </is>
      </c>
      <c r="B51" t="inlineStr">
        <is>
          <t>Actual</t>
        </is>
      </c>
      <c r="C51" t="inlineStr">
        <is>
          <t>Enterprise</t>
        </is>
      </c>
      <c r="D51" t="inlineStr">
        <is>
          <t>Operating expense</t>
        </is>
      </c>
      <c r="E51" t="inlineStr">
        <is>
          <t>Sales &amp; marketing</t>
        </is>
      </c>
      <c r="F51" s="11" t="n">
        <v>1287000</v>
      </c>
      <c r="G51" s="11" t="n">
        <v>1411563.22</v>
      </c>
      <c r="H51" s="11" t="n">
        <v>1411563.22</v>
      </c>
      <c r="I51" s="11">
        <f>IF(B51="Actual",H51,IF(D51="Revenue",H51*(1+Scenario_Assumptions!$B$4),H51*(1+Scenario_Assumptions!$B$5)*IF(OR(E51="Product &amp; engineering",E51="General &amp; administrative"),1-Scenario_Assumptions!$B$6,1)))</f>
        <v/>
      </c>
      <c r="J51" s="11">
        <f>(I51-F51)*IF(D51="Revenue",1,-1)</f>
        <v/>
      </c>
    </row>
    <row r="52">
      <c r="A52" t="inlineStr">
        <is>
          <t>2026-03-01</t>
        </is>
      </c>
      <c r="B52" t="inlineStr">
        <is>
          <t>Actual</t>
        </is>
      </c>
      <c r="C52" t="inlineStr">
        <is>
          <t>Enterprise</t>
        </is>
      </c>
      <c r="D52" t="inlineStr">
        <is>
          <t>Operating expense</t>
        </is>
      </c>
      <c r="E52" t="inlineStr">
        <is>
          <t>Product &amp; engineering</t>
        </is>
      </c>
      <c r="F52" s="11" t="n">
        <v>1586310</v>
      </c>
      <c r="G52" s="11" t="n">
        <v>1650698.15</v>
      </c>
      <c r="H52" s="11" t="n">
        <v>1650698.15</v>
      </c>
      <c r="I52" s="11">
        <f>IF(B52="Actual",H52,IF(D52="Revenue",H52*(1+Scenario_Assumptions!$B$4),H52*(1+Scenario_Assumptions!$B$5)*IF(OR(E52="Product &amp; engineering",E52="General &amp; administrative"),1-Scenario_Assumptions!$B$6,1)))</f>
        <v/>
      </c>
      <c r="J52" s="11">
        <f>(I52-F52)*IF(D52="Revenue",1,-1)</f>
        <v/>
      </c>
    </row>
    <row r="53">
      <c r="A53" t="inlineStr">
        <is>
          <t>2026-03-01</t>
        </is>
      </c>
      <c r="B53" t="inlineStr">
        <is>
          <t>Actual</t>
        </is>
      </c>
      <c r="C53" t="inlineStr">
        <is>
          <t>Enterprise</t>
        </is>
      </c>
      <c r="D53" t="inlineStr">
        <is>
          <t>Operating expense</t>
        </is>
      </c>
      <c r="E53" t="inlineStr">
        <is>
          <t>General &amp; administrative</t>
        </is>
      </c>
      <c r="F53" s="11" t="n">
        <v>709500</v>
      </c>
      <c r="G53" s="11" t="n">
        <v>717994.73</v>
      </c>
      <c r="H53" s="11" t="n">
        <v>717994.73</v>
      </c>
      <c r="I53" s="11">
        <f>IF(B53="Actual",H53,IF(D53="Revenue",H53*(1+Scenario_Assumptions!$B$4),H53*(1+Scenario_Assumptions!$B$5)*IF(OR(E53="Product &amp; engineering",E53="General &amp; administrative"),1-Scenario_Assumptions!$B$6,1)))</f>
        <v/>
      </c>
      <c r="J53" s="11">
        <f>(I53-F53)*IF(D53="Revenue",1,-1)</f>
        <v/>
      </c>
    </row>
    <row r="54">
      <c r="A54" t="inlineStr">
        <is>
          <t>2026-03-01</t>
        </is>
      </c>
      <c r="B54" t="inlineStr">
        <is>
          <t>Actual</t>
        </is>
      </c>
      <c r="C54" t="inlineStr">
        <is>
          <t>SMB</t>
        </is>
      </c>
      <c r="D54" t="inlineStr">
        <is>
          <t>Revenue</t>
        </is>
      </c>
      <c r="E54" t="inlineStr">
        <is>
          <t>Subscription revenue</t>
        </is>
      </c>
      <c r="F54" s="11" t="n">
        <v>3296994.85</v>
      </c>
      <c r="G54" s="11" t="n">
        <v>3220140.17</v>
      </c>
      <c r="H54" s="11" t="n">
        <v>3220140.17</v>
      </c>
      <c r="I54" s="11">
        <f>IF(B54="Actual",H54,IF(D54="Revenue",H54*(1+Scenario_Assumptions!$B$4),H54*(1+Scenario_Assumptions!$B$5)*IF(OR(E54="Product &amp; engineering",E54="General &amp; administrative"),1-Scenario_Assumptions!$B$6,1)))</f>
        <v/>
      </c>
      <c r="J54" s="11">
        <f>(I54-F54)*IF(D54="Revenue",1,-1)</f>
        <v/>
      </c>
    </row>
    <row r="55">
      <c r="A55" t="inlineStr">
        <is>
          <t>2026-03-01</t>
        </is>
      </c>
      <c r="B55" t="inlineStr">
        <is>
          <t>Actual</t>
        </is>
      </c>
      <c r="C55" t="inlineStr">
        <is>
          <t>SMB</t>
        </is>
      </c>
      <c r="D55" t="inlineStr">
        <is>
          <t>Revenue</t>
        </is>
      </c>
      <c r="E55" t="inlineStr">
        <is>
          <t>Professional services revenue</t>
        </is>
      </c>
      <c r="F55" s="11" t="n">
        <v>741823.84</v>
      </c>
      <c r="G55" s="11" t="n">
        <v>754603.97</v>
      </c>
      <c r="H55" s="11" t="n">
        <v>754603.97</v>
      </c>
      <c r="I55" s="11">
        <f>IF(B55="Actual",H55,IF(D55="Revenue",H55*(1+Scenario_Assumptions!$B$4),H55*(1+Scenario_Assumptions!$B$5)*IF(OR(E55="Product &amp; engineering",E55="General &amp; administrative"),1-Scenario_Assumptions!$B$6,1)))</f>
        <v/>
      </c>
      <c r="J55" s="11">
        <f>(I55-F55)*IF(D55="Revenue",1,-1)</f>
        <v/>
      </c>
    </row>
    <row r="56">
      <c r="A56" t="inlineStr">
        <is>
          <t>2026-03-01</t>
        </is>
      </c>
      <c r="B56" t="inlineStr">
        <is>
          <t>Actual</t>
        </is>
      </c>
      <c r="C56" t="inlineStr">
        <is>
          <t>SMB</t>
        </is>
      </c>
      <c r="D56" t="inlineStr">
        <is>
          <t>COGS</t>
        </is>
      </c>
      <c r="E56" t="inlineStr">
        <is>
          <t>Cloud hosting</t>
        </is>
      </c>
      <c r="F56" s="11" t="n">
        <v>510000</v>
      </c>
      <c r="G56" s="11" t="n">
        <v>546098.92</v>
      </c>
      <c r="H56" s="11" t="n">
        <v>546098.92</v>
      </c>
      <c r="I56" s="11">
        <f>IF(B56="Actual",H56,IF(D56="Revenue",H56*(1+Scenario_Assumptions!$B$4),H56*(1+Scenario_Assumptions!$B$5)*IF(OR(E56="Product &amp; engineering",E56="General &amp; administrative"),1-Scenario_Assumptions!$B$6,1)))</f>
        <v/>
      </c>
      <c r="J56" s="11">
        <f>(I56-F56)*IF(D56="Revenue",1,-1)</f>
        <v/>
      </c>
    </row>
    <row r="57">
      <c r="A57" t="inlineStr">
        <is>
          <t>2026-03-01</t>
        </is>
      </c>
      <c r="B57" t="inlineStr">
        <is>
          <t>Actual</t>
        </is>
      </c>
      <c r="C57" t="inlineStr">
        <is>
          <t>SMB</t>
        </is>
      </c>
      <c r="D57" t="inlineStr">
        <is>
          <t>COGS</t>
        </is>
      </c>
      <c r="E57" t="inlineStr">
        <is>
          <t>Customer support delivery</t>
        </is>
      </c>
      <c r="F57" s="11" t="n">
        <v>245000</v>
      </c>
      <c r="G57" s="11" t="n">
        <v>242199.92</v>
      </c>
      <c r="H57" s="11" t="n">
        <v>242199.92</v>
      </c>
      <c r="I57" s="11">
        <f>IF(B57="Actual",H57,IF(D57="Revenue",H57*(1+Scenario_Assumptions!$B$4),H57*(1+Scenario_Assumptions!$B$5)*IF(OR(E57="Product &amp; engineering",E57="General &amp; administrative"),1-Scenario_Assumptions!$B$6,1)))</f>
        <v/>
      </c>
      <c r="J57" s="11">
        <f>(I57-F57)*IF(D57="Revenue",1,-1)</f>
        <v/>
      </c>
    </row>
    <row r="58">
      <c r="A58" t="inlineStr">
        <is>
          <t>2026-03-01</t>
        </is>
      </c>
      <c r="B58" t="inlineStr">
        <is>
          <t>Actual</t>
        </is>
      </c>
      <c r="C58" t="inlineStr">
        <is>
          <t>SMB</t>
        </is>
      </c>
      <c r="D58" t="inlineStr">
        <is>
          <t>Operating expense</t>
        </is>
      </c>
      <c r="E58" t="inlineStr">
        <is>
          <t>Sales &amp; marketing</t>
        </is>
      </c>
      <c r="F58" s="11" t="n">
        <v>780000</v>
      </c>
      <c r="G58" s="11" t="n">
        <v>832266.41</v>
      </c>
      <c r="H58" s="11" t="n">
        <v>832266.41</v>
      </c>
      <c r="I58" s="11">
        <f>IF(B58="Actual",H58,IF(D58="Revenue",H58*(1+Scenario_Assumptions!$B$4),H58*(1+Scenario_Assumptions!$B$5)*IF(OR(E58="Product &amp; engineering",E58="General &amp; administrative"),1-Scenario_Assumptions!$B$6,1)))</f>
        <v/>
      </c>
      <c r="J58" s="11">
        <f>(I58-F58)*IF(D58="Revenue",1,-1)</f>
        <v/>
      </c>
    </row>
    <row r="59">
      <c r="A59" t="inlineStr">
        <is>
          <t>2026-03-01</t>
        </is>
      </c>
      <c r="B59" t="inlineStr">
        <is>
          <t>Actual</t>
        </is>
      </c>
      <c r="C59" t="inlineStr">
        <is>
          <t>SMB</t>
        </is>
      </c>
      <c r="D59" t="inlineStr">
        <is>
          <t>Operating expense</t>
        </is>
      </c>
      <c r="E59" t="inlineStr">
        <is>
          <t>Product &amp; engineering</t>
        </is>
      </c>
      <c r="F59" s="11" t="n">
        <v>961400</v>
      </c>
      <c r="G59" s="11" t="n">
        <v>983743.59</v>
      </c>
      <c r="H59" s="11" t="n">
        <v>983743.59</v>
      </c>
      <c r="I59" s="11">
        <f>IF(B59="Actual",H59,IF(D59="Revenue",H59*(1+Scenario_Assumptions!$B$4),H59*(1+Scenario_Assumptions!$B$5)*IF(OR(E59="Product &amp; engineering",E59="General &amp; administrative"),1-Scenario_Assumptions!$B$6,1)))</f>
        <v/>
      </c>
      <c r="J59" s="11">
        <f>(I59-F59)*IF(D59="Revenue",1,-1)</f>
        <v/>
      </c>
    </row>
    <row r="60">
      <c r="A60" t="inlineStr">
        <is>
          <t>2026-03-01</t>
        </is>
      </c>
      <c r="B60" t="inlineStr">
        <is>
          <t>Actual</t>
        </is>
      </c>
      <c r="C60" t="inlineStr">
        <is>
          <t>SMB</t>
        </is>
      </c>
      <c r="D60" t="inlineStr">
        <is>
          <t>Operating expense</t>
        </is>
      </c>
      <c r="E60" t="inlineStr">
        <is>
          <t>General &amp; administrative</t>
        </is>
      </c>
      <c r="F60" s="11" t="n">
        <v>430000</v>
      </c>
      <c r="G60" s="11" t="n">
        <v>420982.06</v>
      </c>
      <c r="H60" s="11" t="n">
        <v>420982.06</v>
      </c>
      <c r="I60" s="11">
        <f>IF(B60="Actual",H60,IF(D60="Revenue",H60*(1+Scenario_Assumptions!$B$4),H60*(1+Scenario_Assumptions!$B$5)*IF(OR(E60="Product &amp; engineering",E60="General &amp; administrative"),1-Scenario_Assumptions!$B$6,1)))</f>
        <v/>
      </c>
      <c r="J60" s="11">
        <f>(I60-F60)*IF(D60="Revenue",1,-1)</f>
        <v/>
      </c>
    </row>
    <row r="61">
      <c r="A61" t="inlineStr">
        <is>
          <t>2026-03-01</t>
        </is>
      </c>
      <c r="B61" t="inlineStr">
        <is>
          <t>Actual</t>
        </is>
      </c>
      <c r="C61" t="inlineStr">
        <is>
          <t>Customer Solutions</t>
        </is>
      </c>
      <c r="D61" t="inlineStr">
        <is>
          <t>Revenue</t>
        </is>
      </c>
      <c r="E61" t="inlineStr">
        <is>
          <t>Subscription revenue</t>
        </is>
      </c>
      <c r="F61" s="11" t="n">
        <v>2307896.39</v>
      </c>
      <c r="G61" s="11" t="n">
        <v>2234323.99</v>
      </c>
      <c r="H61" s="11" t="n">
        <v>2234323.99</v>
      </c>
      <c r="I61" s="11">
        <f>IF(B61="Actual",H61,IF(D61="Revenue",H61*(1+Scenario_Assumptions!$B$4),H61*(1+Scenario_Assumptions!$B$5)*IF(OR(E61="Product &amp; engineering",E61="General &amp; administrative"),1-Scenario_Assumptions!$B$6,1)))</f>
        <v/>
      </c>
      <c r="J61" s="11">
        <f>(I61-F61)*IF(D61="Revenue",1,-1)</f>
        <v/>
      </c>
    </row>
    <row r="62">
      <c r="A62" t="inlineStr">
        <is>
          <t>2026-03-01</t>
        </is>
      </c>
      <c r="B62" t="inlineStr">
        <is>
          <t>Actual</t>
        </is>
      </c>
      <c r="C62" t="inlineStr">
        <is>
          <t>Customer Solutions</t>
        </is>
      </c>
      <c r="D62" t="inlineStr">
        <is>
          <t>Revenue</t>
        </is>
      </c>
      <c r="E62" t="inlineStr">
        <is>
          <t>Professional services revenue</t>
        </is>
      </c>
      <c r="F62" s="11" t="n">
        <v>519276.69</v>
      </c>
      <c r="G62" s="11" t="n">
        <v>543876.66</v>
      </c>
      <c r="H62" s="11" t="n">
        <v>543876.66</v>
      </c>
      <c r="I62" s="11">
        <f>IF(B62="Actual",H62,IF(D62="Revenue",H62*(1+Scenario_Assumptions!$B$4),H62*(1+Scenario_Assumptions!$B$5)*IF(OR(E62="Product &amp; engineering",E62="General &amp; administrative"),1-Scenario_Assumptions!$B$6,1)))</f>
        <v/>
      </c>
      <c r="J62" s="11">
        <f>(I62-F62)*IF(D62="Revenue",1,-1)</f>
        <v/>
      </c>
    </row>
    <row r="63">
      <c r="A63" t="inlineStr">
        <is>
          <t>2026-03-01</t>
        </is>
      </c>
      <c r="B63" t="inlineStr">
        <is>
          <t>Actual</t>
        </is>
      </c>
      <c r="C63" t="inlineStr">
        <is>
          <t>Customer Solutions</t>
        </is>
      </c>
      <c r="D63" t="inlineStr">
        <is>
          <t>COGS</t>
        </is>
      </c>
      <c r="E63" t="inlineStr">
        <is>
          <t>Cloud hosting</t>
        </is>
      </c>
      <c r="F63" s="11" t="n">
        <v>357000</v>
      </c>
      <c r="G63" s="11" t="n">
        <v>368907.46</v>
      </c>
      <c r="H63" s="11" t="n">
        <v>368907.46</v>
      </c>
      <c r="I63" s="11">
        <f>IF(B63="Actual",H63,IF(D63="Revenue",H63*(1+Scenario_Assumptions!$B$4),H63*(1+Scenario_Assumptions!$B$5)*IF(OR(E63="Product &amp; engineering",E63="General &amp; administrative"),1-Scenario_Assumptions!$B$6,1)))</f>
        <v/>
      </c>
      <c r="J63" s="11">
        <f>(I63-F63)*IF(D63="Revenue",1,-1)</f>
        <v/>
      </c>
    </row>
    <row r="64">
      <c r="A64" t="inlineStr">
        <is>
          <t>2026-03-01</t>
        </is>
      </c>
      <c r="B64" t="inlineStr">
        <is>
          <t>Actual</t>
        </is>
      </c>
      <c r="C64" t="inlineStr">
        <is>
          <t>Customer Solutions</t>
        </is>
      </c>
      <c r="D64" t="inlineStr">
        <is>
          <t>COGS</t>
        </is>
      </c>
      <c r="E64" t="inlineStr">
        <is>
          <t>Customer support delivery</t>
        </is>
      </c>
      <c r="F64" s="11" t="n">
        <v>171500</v>
      </c>
      <c r="G64" s="11" t="n">
        <v>179938.99</v>
      </c>
      <c r="H64" s="11" t="n">
        <v>179938.99</v>
      </c>
      <c r="I64" s="11">
        <f>IF(B64="Actual",H64,IF(D64="Revenue",H64*(1+Scenario_Assumptions!$B$4),H64*(1+Scenario_Assumptions!$B$5)*IF(OR(E64="Product &amp; engineering",E64="General &amp; administrative"),1-Scenario_Assumptions!$B$6,1)))</f>
        <v/>
      </c>
      <c r="J64" s="11">
        <f>(I64-F64)*IF(D64="Revenue",1,-1)</f>
        <v/>
      </c>
    </row>
    <row r="65">
      <c r="A65" t="inlineStr">
        <is>
          <t>2026-03-01</t>
        </is>
      </c>
      <c r="B65" t="inlineStr">
        <is>
          <t>Actual</t>
        </is>
      </c>
      <c r="C65" t="inlineStr">
        <is>
          <t>Customer Solutions</t>
        </is>
      </c>
      <c r="D65" t="inlineStr">
        <is>
          <t>Operating expense</t>
        </is>
      </c>
      <c r="E65" t="inlineStr">
        <is>
          <t>Sales &amp; marketing</t>
        </is>
      </c>
      <c r="F65" s="11" t="n">
        <v>546000</v>
      </c>
      <c r="G65" s="11" t="n">
        <v>563978.83</v>
      </c>
      <c r="H65" s="11" t="n">
        <v>563978.83</v>
      </c>
      <c r="I65" s="11">
        <f>IF(B65="Actual",H65,IF(D65="Revenue",H65*(1+Scenario_Assumptions!$B$4),H65*(1+Scenario_Assumptions!$B$5)*IF(OR(E65="Product &amp; engineering",E65="General &amp; administrative"),1-Scenario_Assumptions!$B$6,1)))</f>
        <v/>
      </c>
      <c r="J65" s="11">
        <f>(I65-F65)*IF(D65="Revenue",1,-1)</f>
        <v/>
      </c>
    </row>
    <row r="66">
      <c r="A66" t="inlineStr">
        <is>
          <t>2026-03-01</t>
        </is>
      </c>
      <c r="B66" t="inlineStr">
        <is>
          <t>Actual</t>
        </is>
      </c>
      <c r="C66" t="inlineStr">
        <is>
          <t>Customer Solutions</t>
        </is>
      </c>
      <c r="D66" t="inlineStr">
        <is>
          <t>Operating expense</t>
        </is>
      </c>
      <c r="E66" t="inlineStr">
        <is>
          <t>Product &amp; engineering</t>
        </is>
      </c>
      <c r="F66" s="11" t="n">
        <v>672980</v>
      </c>
      <c r="G66" s="11" t="n">
        <v>690900.03</v>
      </c>
      <c r="H66" s="11" t="n">
        <v>690900.03</v>
      </c>
      <c r="I66" s="11">
        <f>IF(B66="Actual",H66,IF(D66="Revenue",H66*(1+Scenario_Assumptions!$B$4),H66*(1+Scenario_Assumptions!$B$5)*IF(OR(E66="Product &amp; engineering",E66="General &amp; administrative"),1-Scenario_Assumptions!$B$6,1)))</f>
        <v/>
      </c>
      <c r="J66" s="11">
        <f>(I66-F66)*IF(D66="Revenue",1,-1)</f>
        <v/>
      </c>
    </row>
    <row r="67">
      <c r="A67" t="inlineStr">
        <is>
          <t>2026-03-01</t>
        </is>
      </c>
      <c r="B67" t="inlineStr">
        <is>
          <t>Actual</t>
        </is>
      </c>
      <c r="C67" t="inlineStr">
        <is>
          <t>Customer Solutions</t>
        </is>
      </c>
      <c r="D67" t="inlineStr">
        <is>
          <t>Operating expense</t>
        </is>
      </c>
      <c r="E67" t="inlineStr">
        <is>
          <t>General &amp; administrative</t>
        </is>
      </c>
      <c r="F67" s="11" t="n">
        <v>301000</v>
      </c>
      <c r="G67" s="11" t="n">
        <v>300719.72</v>
      </c>
      <c r="H67" s="11" t="n">
        <v>300719.72</v>
      </c>
      <c r="I67" s="11">
        <f>IF(B67="Actual",H67,IF(D67="Revenue",H67*(1+Scenario_Assumptions!$B$4),H67*(1+Scenario_Assumptions!$B$5)*IF(OR(E67="Product &amp; engineering",E67="General &amp; administrative"),1-Scenario_Assumptions!$B$6,1)))</f>
        <v/>
      </c>
      <c r="J67" s="11">
        <f>(I67-F67)*IF(D67="Revenue",1,-1)</f>
        <v/>
      </c>
    </row>
    <row r="68">
      <c r="A68" t="inlineStr">
        <is>
          <t>2026-04-01</t>
        </is>
      </c>
      <c r="B68" t="inlineStr">
        <is>
          <t>Actual</t>
        </is>
      </c>
      <c r="C68" t="inlineStr">
        <is>
          <t>Enterprise</t>
        </is>
      </c>
      <c r="D68" t="inlineStr">
        <is>
          <t>Revenue</t>
        </is>
      </c>
      <c r="E68" t="inlineStr">
        <is>
          <t>Subscription revenue</t>
        </is>
      </c>
      <c r="F68" s="11" t="n">
        <v>5464800</v>
      </c>
      <c r="G68" s="11" t="n">
        <v>5408269.69</v>
      </c>
      <c r="H68" s="11" t="n">
        <v>5408269.69</v>
      </c>
      <c r="I68" s="11">
        <f>IF(B68="Actual",H68,IF(D68="Revenue",H68*(1+Scenario_Assumptions!$B$4),H68*(1+Scenario_Assumptions!$B$5)*IF(OR(E68="Product &amp; engineering",E68="General &amp; administrative"),1-Scenario_Assumptions!$B$6,1)))</f>
        <v/>
      </c>
      <c r="J68" s="11">
        <f>(I68-F68)*IF(D68="Revenue",1,-1)</f>
        <v/>
      </c>
    </row>
    <row r="69">
      <c r="A69" t="inlineStr">
        <is>
          <t>2026-04-01</t>
        </is>
      </c>
      <c r="B69" t="inlineStr">
        <is>
          <t>Actual</t>
        </is>
      </c>
      <c r="C69" t="inlineStr">
        <is>
          <t>Enterprise</t>
        </is>
      </c>
      <c r="D69" t="inlineStr">
        <is>
          <t>Revenue</t>
        </is>
      </c>
      <c r="E69" t="inlineStr">
        <is>
          <t>Professional services revenue</t>
        </is>
      </c>
      <c r="F69" s="11" t="n">
        <v>1229580</v>
      </c>
      <c r="G69" s="11" t="n">
        <v>1263738.55</v>
      </c>
      <c r="H69" s="11" t="n">
        <v>1263738.55</v>
      </c>
      <c r="I69" s="11">
        <f>IF(B69="Actual",H69,IF(D69="Revenue",H69*(1+Scenario_Assumptions!$B$4),H69*(1+Scenario_Assumptions!$B$5)*IF(OR(E69="Product &amp; engineering",E69="General &amp; administrative"),1-Scenario_Assumptions!$B$6,1)))</f>
        <v/>
      </c>
      <c r="J69" s="11">
        <f>(I69-F69)*IF(D69="Revenue",1,-1)</f>
        <v/>
      </c>
    </row>
    <row r="70">
      <c r="A70" t="inlineStr">
        <is>
          <t>2026-04-01</t>
        </is>
      </c>
      <c r="B70" t="inlineStr">
        <is>
          <t>Actual</t>
        </is>
      </c>
      <c r="C70" t="inlineStr">
        <is>
          <t>Enterprise</t>
        </is>
      </c>
      <c r="D70" t="inlineStr">
        <is>
          <t>COGS</t>
        </is>
      </c>
      <c r="E70" t="inlineStr">
        <is>
          <t>Cloud hosting</t>
        </is>
      </c>
      <c r="F70" s="11" t="n">
        <v>841500</v>
      </c>
      <c r="G70" s="11" t="n">
        <v>904472.54</v>
      </c>
      <c r="H70" s="11" t="n">
        <v>904472.54</v>
      </c>
      <c r="I70" s="11">
        <f>IF(B70="Actual",H70,IF(D70="Revenue",H70*(1+Scenario_Assumptions!$B$4),H70*(1+Scenario_Assumptions!$B$5)*IF(OR(E70="Product &amp; engineering",E70="General &amp; administrative"),1-Scenario_Assumptions!$B$6,1)))</f>
        <v/>
      </c>
      <c r="J70" s="11">
        <f>(I70-F70)*IF(D70="Revenue",1,-1)</f>
        <v/>
      </c>
    </row>
    <row r="71">
      <c r="A71" t="inlineStr">
        <is>
          <t>2026-04-01</t>
        </is>
      </c>
      <c r="B71" t="inlineStr">
        <is>
          <t>Actual</t>
        </is>
      </c>
      <c r="C71" t="inlineStr">
        <is>
          <t>Enterprise</t>
        </is>
      </c>
      <c r="D71" t="inlineStr">
        <is>
          <t>COGS</t>
        </is>
      </c>
      <c r="E71" t="inlineStr">
        <is>
          <t>Customer support delivery</t>
        </is>
      </c>
      <c r="F71" s="11" t="n">
        <v>404250</v>
      </c>
      <c r="G71" s="11" t="n">
        <v>410831.95</v>
      </c>
      <c r="H71" s="11" t="n">
        <v>410831.95</v>
      </c>
      <c r="I71" s="11">
        <f>IF(B71="Actual",H71,IF(D71="Revenue",H71*(1+Scenario_Assumptions!$B$4),H71*(1+Scenario_Assumptions!$B$5)*IF(OR(E71="Product &amp; engineering",E71="General &amp; administrative"),1-Scenario_Assumptions!$B$6,1)))</f>
        <v/>
      </c>
      <c r="J71" s="11">
        <f>(I71-F71)*IF(D71="Revenue",1,-1)</f>
        <v/>
      </c>
    </row>
    <row r="72">
      <c r="A72" t="inlineStr">
        <is>
          <t>2026-04-01</t>
        </is>
      </c>
      <c r="B72" t="inlineStr">
        <is>
          <t>Actual</t>
        </is>
      </c>
      <c r="C72" t="inlineStr">
        <is>
          <t>Enterprise</t>
        </is>
      </c>
      <c r="D72" t="inlineStr">
        <is>
          <t>Operating expense</t>
        </is>
      </c>
      <c r="E72" t="inlineStr">
        <is>
          <t>Sales &amp; marketing</t>
        </is>
      </c>
      <c r="F72" s="11" t="n">
        <v>1287000</v>
      </c>
      <c r="G72" s="11" t="n">
        <v>1368648.83</v>
      </c>
      <c r="H72" s="11" t="n">
        <v>1368648.83</v>
      </c>
      <c r="I72" s="11">
        <f>IF(B72="Actual",H72,IF(D72="Revenue",H72*(1+Scenario_Assumptions!$B$4),H72*(1+Scenario_Assumptions!$B$5)*IF(OR(E72="Product &amp; engineering",E72="General &amp; administrative"),1-Scenario_Assumptions!$B$6,1)))</f>
        <v/>
      </c>
      <c r="J72" s="11">
        <f>(I72-F72)*IF(D72="Revenue",1,-1)</f>
        <v/>
      </c>
    </row>
    <row r="73">
      <c r="A73" t="inlineStr">
        <is>
          <t>2026-04-01</t>
        </is>
      </c>
      <c r="B73" t="inlineStr">
        <is>
          <t>Actual</t>
        </is>
      </c>
      <c r="C73" t="inlineStr">
        <is>
          <t>Enterprise</t>
        </is>
      </c>
      <c r="D73" t="inlineStr">
        <is>
          <t>Operating expense</t>
        </is>
      </c>
      <c r="E73" t="inlineStr">
        <is>
          <t>Product &amp; engineering</t>
        </is>
      </c>
      <c r="F73" s="11" t="n">
        <v>1609080</v>
      </c>
      <c r="G73" s="11" t="n">
        <v>1699911.6</v>
      </c>
      <c r="H73" s="11" t="n">
        <v>1699911.6</v>
      </c>
      <c r="I73" s="11">
        <f>IF(B73="Actual",H73,IF(D73="Revenue",H73*(1+Scenario_Assumptions!$B$4),H73*(1+Scenario_Assumptions!$B$5)*IF(OR(E73="Product &amp; engineering",E73="General &amp; administrative"),1-Scenario_Assumptions!$B$6,1)))</f>
        <v/>
      </c>
      <c r="J73" s="11">
        <f>(I73-F73)*IF(D73="Revenue",1,-1)</f>
        <v/>
      </c>
    </row>
    <row r="74">
      <c r="A74" t="inlineStr">
        <is>
          <t>2026-04-01</t>
        </is>
      </c>
      <c r="B74" t="inlineStr">
        <is>
          <t>Actual</t>
        </is>
      </c>
      <c r="C74" t="inlineStr">
        <is>
          <t>Enterprise</t>
        </is>
      </c>
      <c r="D74" t="inlineStr">
        <is>
          <t>Operating expense</t>
        </is>
      </c>
      <c r="E74" t="inlineStr">
        <is>
          <t>General &amp; administrative</t>
        </is>
      </c>
      <c r="F74" s="11" t="n">
        <v>709500</v>
      </c>
      <c r="G74" s="11" t="n">
        <v>702559.24</v>
      </c>
      <c r="H74" s="11" t="n">
        <v>702559.24</v>
      </c>
      <c r="I74" s="11">
        <f>IF(B74="Actual",H74,IF(D74="Revenue",H74*(1+Scenario_Assumptions!$B$4),H74*(1+Scenario_Assumptions!$B$5)*IF(OR(E74="Product &amp; engineering",E74="General &amp; administrative"),1-Scenario_Assumptions!$B$6,1)))</f>
        <v/>
      </c>
      <c r="J74" s="11">
        <f>(I74-F74)*IF(D74="Revenue",1,-1)</f>
        <v/>
      </c>
    </row>
    <row r="75">
      <c r="A75" t="inlineStr">
        <is>
          <t>2026-04-01</t>
        </is>
      </c>
      <c r="B75" t="inlineStr">
        <is>
          <t>Actual</t>
        </is>
      </c>
      <c r="C75" t="inlineStr">
        <is>
          <t>SMB</t>
        </is>
      </c>
      <c r="D75" t="inlineStr">
        <is>
          <t>Revenue</t>
        </is>
      </c>
      <c r="E75" t="inlineStr">
        <is>
          <t>Subscription revenue</t>
        </is>
      </c>
      <c r="F75" s="11" t="n">
        <v>3312000</v>
      </c>
      <c r="G75" s="11" t="n">
        <v>3123573.17</v>
      </c>
      <c r="H75" s="11" t="n">
        <v>3123573.17</v>
      </c>
      <c r="I75" s="11">
        <f>IF(B75="Actual",H75,IF(D75="Revenue",H75*(1+Scenario_Assumptions!$B$4),H75*(1+Scenario_Assumptions!$B$5)*IF(OR(E75="Product &amp; engineering",E75="General &amp; administrative"),1-Scenario_Assumptions!$B$6,1)))</f>
        <v/>
      </c>
      <c r="J75" s="11">
        <f>(I75-F75)*IF(D75="Revenue",1,-1)</f>
        <v/>
      </c>
    </row>
    <row r="76">
      <c r="A76" t="inlineStr">
        <is>
          <t>2026-04-01</t>
        </is>
      </c>
      <c r="B76" t="inlineStr">
        <is>
          <t>Actual</t>
        </is>
      </c>
      <c r="C76" t="inlineStr">
        <is>
          <t>SMB</t>
        </is>
      </c>
      <c r="D76" t="inlineStr">
        <is>
          <t>Revenue</t>
        </is>
      </c>
      <c r="E76" t="inlineStr">
        <is>
          <t>Professional services revenue</t>
        </is>
      </c>
      <c r="F76" s="11" t="n">
        <v>745200</v>
      </c>
      <c r="G76" s="11" t="n">
        <v>731538.86</v>
      </c>
      <c r="H76" s="11" t="n">
        <v>731538.86</v>
      </c>
      <c r="I76" s="11">
        <f>IF(B76="Actual",H76,IF(D76="Revenue",H76*(1+Scenario_Assumptions!$B$4),H76*(1+Scenario_Assumptions!$B$5)*IF(OR(E76="Product &amp; engineering",E76="General &amp; administrative"),1-Scenario_Assumptions!$B$6,1)))</f>
        <v/>
      </c>
      <c r="J76" s="11">
        <f>(I76-F76)*IF(D76="Revenue",1,-1)</f>
        <v/>
      </c>
    </row>
    <row r="77">
      <c r="A77" t="inlineStr">
        <is>
          <t>2026-04-01</t>
        </is>
      </c>
      <c r="B77" t="inlineStr">
        <is>
          <t>Actual</t>
        </is>
      </c>
      <c r="C77" t="inlineStr">
        <is>
          <t>SMB</t>
        </is>
      </c>
      <c r="D77" t="inlineStr">
        <is>
          <t>COGS</t>
        </is>
      </c>
      <c r="E77" t="inlineStr">
        <is>
          <t>Cloud hosting</t>
        </is>
      </c>
      <c r="F77" s="11" t="n">
        <v>510000</v>
      </c>
      <c r="G77" s="11" t="n">
        <v>526326.98</v>
      </c>
      <c r="H77" s="11" t="n">
        <v>526326.98</v>
      </c>
      <c r="I77" s="11">
        <f>IF(B77="Actual",H77,IF(D77="Revenue",H77*(1+Scenario_Assumptions!$B$4),H77*(1+Scenario_Assumptions!$B$5)*IF(OR(E77="Product &amp; engineering",E77="General &amp; administrative"),1-Scenario_Assumptions!$B$6,1)))</f>
        <v/>
      </c>
      <c r="J77" s="11">
        <f>(I77-F77)*IF(D77="Revenue",1,-1)</f>
        <v/>
      </c>
    </row>
    <row r="78">
      <c r="A78" t="inlineStr">
        <is>
          <t>2026-04-01</t>
        </is>
      </c>
      <c r="B78" t="inlineStr">
        <is>
          <t>Actual</t>
        </is>
      </c>
      <c r="C78" t="inlineStr">
        <is>
          <t>SMB</t>
        </is>
      </c>
      <c r="D78" t="inlineStr">
        <is>
          <t>COGS</t>
        </is>
      </c>
      <c r="E78" t="inlineStr">
        <is>
          <t>Customer support delivery</t>
        </is>
      </c>
      <c r="F78" s="11" t="n">
        <v>245000</v>
      </c>
      <c r="G78" s="11" t="n">
        <v>254170.11</v>
      </c>
      <c r="H78" s="11" t="n">
        <v>254170.11</v>
      </c>
      <c r="I78" s="11">
        <f>IF(B78="Actual",H78,IF(D78="Revenue",H78*(1+Scenario_Assumptions!$B$4),H78*(1+Scenario_Assumptions!$B$5)*IF(OR(E78="Product &amp; engineering",E78="General &amp; administrative"),1-Scenario_Assumptions!$B$6,1)))</f>
        <v/>
      </c>
      <c r="J78" s="11">
        <f>(I78-F78)*IF(D78="Revenue",1,-1)</f>
        <v/>
      </c>
    </row>
    <row r="79">
      <c r="A79" t="inlineStr">
        <is>
          <t>2026-04-01</t>
        </is>
      </c>
      <c r="B79" t="inlineStr">
        <is>
          <t>Actual</t>
        </is>
      </c>
      <c r="C79" t="inlineStr">
        <is>
          <t>SMB</t>
        </is>
      </c>
      <c r="D79" t="inlineStr">
        <is>
          <t>Operating expense</t>
        </is>
      </c>
      <c r="E79" t="inlineStr">
        <is>
          <t>Sales &amp; marketing</t>
        </is>
      </c>
      <c r="F79" s="11" t="n">
        <v>780000</v>
      </c>
      <c r="G79" s="11" t="n">
        <v>841277.3</v>
      </c>
      <c r="H79" s="11" t="n">
        <v>841277.3</v>
      </c>
      <c r="I79" s="11">
        <f>IF(B79="Actual",H79,IF(D79="Revenue",H79*(1+Scenario_Assumptions!$B$4),H79*(1+Scenario_Assumptions!$B$5)*IF(OR(E79="Product &amp; engineering",E79="General &amp; administrative"),1-Scenario_Assumptions!$B$6,1)))</f>
        <v/>
      </c>
      <c r="J79" s="11">
        <f>(I79-F79)*IF(D79="Revenue",1,-1)</f>
        <v/>
      </c>
    </row>
    <row r="80">
      <c r="A80" t="inlineStr">
        <is>
          <t>2026-04-01</t>
        </is>
      </c>
      <c r="B80" t="inlineStr">
        <is>
          <t>Actual</t>
        </is>
      </c>
      <c r="C80" t="inlineStr">
        <is>
          <t>SMB</t>
        </is>
      </c>
      <c r="D80" t="inlineStr">
        <is>
          <t>Operating expense</t>
        </is>
      </c>
      <c r="E80" t="inlineStr">
        <is>
          <t>Product &amp; engineering</t>
        </is>
      </c>
      <c r="F80" s="11" t="n">
        <v>975200</v>
      </c>
      <c r="G80" s="11" t="n">
        <v>1026166.03</v>
      </c>
      <c r="H80" s="11" t="n">
        <v>1026166.03</v>
      </c>
      <c r="I80" s="11">
        <f>IF(B80="Actual",H80,IF(D80="Revenue",H80*(1+Scenario_Assumptions!$B$4),H80*(1+Scenario_Assumptions!$B$5)*IF(OR(E80="Product &amp; engineering",E80="General &amp; administrative"),1-Scenario_Assumptions!$B$6,1)))</f>
        <v/>
      </c>
      <c r="J80" s="11">
        <f>(I80-F80)*IF(D80="Revenue",1,-1)</f>
        <v/>
      </c>
    </row>
    <row r="81">
      <c r="A81" t="inlineStr">
        <is>
          <t>2026-04-01</t>
        </is>
      </c>
      <c r="B81" t="inlineStr">
        <is>
          <t>Actual</t>
        </is>
      </c>
      <c r="C81" t="inlineStr">
        <is>
          <t>SMB</t>
        </is>
      </c>
      <c r="D81" t="inlineStr">
        <is>
          <t>Operating expense</t>
        </is>
      </c>
      <c r="E81" t="inlineStr">
        <is>
          <t>General &amp; administrative</t>
        </is>
      </c>
      <c r="F81" s="11" t="n">
        <v>430000</v>
      </c>
      <c r="G81" s="11" t="n">
        <v>423257.03</v>
      </c>
      <c r="H81" s="11" t="n">
        <v>423257.03</v>
      </c>
      <c r="I81" s="11">
        <f>IF(B81="Actual",H81,IF(D81="Revenue",H81*(1+Scenario_Assumptions!$B$4),H81*(1+Scenario_Assumptions!$B$5)*IF(OR(E81="Product &amp; engineering",E81="General &amp; administrative"),1-Scenario_Assumptions!$B$6,1)))</f>
        <v/>
      </c>
      <c r="J81" s="11">
        <f>(I81-F81)*IF(D81="Revenue",1,-1)</f>
        <v/>
      </c>
    </row>
    <row r="82">
      <c r="A82" t="inlineStr">
        <is>
          <t>2026-04-01</t>
        </is>
      </c>
      <c r="B82" t="inlineStr">
        <is>
          <t>Actual</t>
        </is>
      </c>
      <c r="C82" t="inlineStr">
        <is>
          <t>Customer Solutions</t>
        </is>
      </c>
      <c r="D82" t="inlineStr">
        <is>
          <t>Revenue</t>
        </is>
      </c>
      <c r="E82" t="inlineStr">
        <is>
          <t>Subscription revenue</t>
        </is>
      </c>
      <c r="F82" s="11" t="n">
        <v>2318400</v>
      </c>
      <c r="G82" s="11" t="n">
        <v>2269628.96</v>
      </c>
      <c r="H82" s="11" t="n">
        <v>2269628.96</v>
      </c>
      <c r="I82" s="11">
        <f>IF(B82="Actual",H82,IF(D82="Revenue",H82*(1+Scenario_Assumptions!$B$4),H82*(1+Scenario_Assumptions!$B$5)*IF(OR(E82="Product &amp; engineering",E82="General &amp; administrative"),1-Scenario_Assumptions!$B$6,1)))</f>
        <v/>
      </c>
      <c r="J82" s="11">
        <f>(I82-F82)*IF(D82="Revenue",1,-1)</f>
        <v/>
      </c>
    </row>
    <row r="83">
      <c r="A83" t="inlineStr">
        <is>
          <t>2026-04-01</t>
        </is>
      </c>
      <c r="B83" t="inlineStr">
        <is>
          <t>Actual</t>
        </is>
      </c>
      <c r="C83" t="inlineStr">
        <is>
          <t>Customer Solutions</t>
        </is>
      </c>
      <c r="D83" t="inlineStr">
        <is>
          <t>Revenue</t>
        </is>
      </c>
      <c r="E83" t="inlineStr">
        <is>
          <t>Professional services revenue</t>
        </is>
      </c>
      <c r="F83" s="11" t="n">
        <v>521640</v>
      </c>
      <c r="G83" s="11" t="n">
        <v>535014.72</v>
      </c>
      <c r="H83" s="11" t="n">
        <v>535014.72</v>
      </c>
      <c r="I83" s="11">
        <f>IF(B83="Actual",H83,IF(D83="Revenue",H83*(1+Scenario_Assumptions!$B$4),H83*(1+Scenario_Assumptions!$B$5)*IF(OR(E83="Product &amp; engineering",E83="General &amp; administrative"),1-Scenario_Assumptions!$B$6,1)))</f>
        <v/>
      </c>
      <c r="J83" s="11">
        <f>(I83-F83)*IF(D83="Revenue",1,-1)</f>
        <v/>
      </c>
    </row>
    <row r="84">
      <c r="A84" t="inlineStr">
        <is>
          <t>2026-04-01</t>
        </is>
      </c>
      <c r="B84" t="inlineStr">
        <is>
          <t>Actual</t>
        </is>
      </c>
      <c r="C84" t="inlineStr">
        <is>
          <t>Customer Solutions</t>
        </is>
      </c>
      <c r="D84" t="inlineStr">
        <is>
          <t>COGS</t>
        </is>
      </c>
      <c r="E84" t="inlineStr">
        <is>
          <t>Cloud hosting</t>
        </is>
      </c>
      <c r="F84" s="11" t="n">
        <v>357000</v>
      </c>
      <c r="G84" s="11" t="n">
        <v>373874.08</v>
      </c>
      <c r="H84" s="11" t="n">
        <v>373874.08</v>
      </c>
      <c r="I84" s="11">
        <f>IF(B84="Actual",H84,IF(D84="Revenue",H84*(1+Scenario_Assumptions!$B$4),H84*(1+Scenario_Assumptions!$B$5)*IF(OR(E84="Product &amp; engineering",E84="General &amp; administrative"),1-Scenario_Assumptions!$B$6,1)))</f>
        <v/>
      </c>
      <c r="J84" s="11">
        <f>(I84-F84)*IF(D84="Revenue",1,-1)</f>
        <v/>
      </c>
    </row>
    <row r="85">
      <c r="A85" t="inlineStr">
        <is>
          <t>2026-04-01</t>
        </is>
      </c>
      <c r="B85" t="inlineStr">
        <is>
          <t>Actual</t>
        </is>
      </c>
      <c r="C85" t="inlineStr">
        <is>
          <t>Customer Solutions</t>
        </is>
      </c>
      <c r="D85" t="inlineStr">
        <is>
          <t>COGS</t>
        </is>
      </c>
      <c r="E85" t="inlineStr">
        <is>
          <t>Customer support delivery</t>
        </is>
      </c>
      <c r="F85" s="11" t="n">
        <v>171500</v>
      </c>
      <c r="G85" s="11" t="n">
        <v>177745.92</v>
      </c>
      <c r="H85" s="11" t="n">
        <v>177745.92</v>
      </c>
      <c r="I85" s="11">
        <f>IF(B85="Actual",H85,IF(D85="Revenue",H85*(1+Scenario_Assumptions!$B$4),H85*(1+Scenario_Assumptions!$B$5)*IF(OR(E85="Product &amp; engineering",E85="General &amp; administrative"),1-Scenario_Assumptions!$B$6,1)))</f>
        <v/>
      </c>
      <c r="J85" s="11">
        <f>(I85-F85)*IF(D85="Revenue",1,-1)</f>
        <v/>
      </c>
    </row>
    <row r="86">
      <c r="A86" t="inlineStr">
        <is>
          <t>2026-04-01</t>
        </is>
      </c>
      <c r="B86" t="inlineStr">
        <is>
          <t>Actual</t>
        </is>
      </c>
      <c r="C86" t="inlineStr">
        <is>
          <t>Customer Solutions</t>
        </is>
      </c>
      <c r="D86" t="inlineStr">
        <is>
          <t>Operating expense</t>
        </is>
      </c>
      <c r="E86" t="inlineStr">
        <is>
          <t>Sales &amp; marketing</t>
        </is>
      </c>
      <c r="F86" s="11" t="n">
        <v>546000</v>
      </c>
      <c r="G86" s="11" t="n">
        <v>577914.71</v>
      </c>
      <c r="H86" s="11" t="n">
        <v>577914.71</v>
      </c>
      <c r="I86" s="11">
        <f>IF(B86="Actual",H86,IF(D86="Revenue",H86*(1+Scenario_Assumptions!$B$4),H86*(1+Scenario_Assumptions!$B$5)*IF(OR(E86="Product &amp; engineering",E86="General &amp; administrative"),1-Scenario_Assumptions!$B$6,1)))</f>
        <v/>
      </c>
      <c r="J86" s="11">
        <f>(I86-F86)*IF(D86="Revenue",1,-1)</f>
        <v/>
      </c>
    </row>
    <row r="87">
      <c r="A87" t="inlineStr">
        <is>
          <t>2026-04-01</t>
        </is>
      </c>
      <c r="B87" t="inlineStr">
        <is>
          <t>Actual</t>
        </is>
      </c>
      <c r="C87" t="inlineStr">
        <is>
          <t>Customer Solutions</t>
        </is>
      </c>
      <c r="D87" t="inlineStr">
        <is>
          <t>Operating expense</t>
        </is>
      </c>
      <c r="E87" t="inlineStr">
        <is>
          <t>Product &amp; engineering</t>
        </is>
      </c>
      <c r="F87" s="11" t="n">
        <v>682640</v>
      </c>
      <c r="G87" s="11" t="n">
        <v>700336.52</v>
      </c>
      <c r="H87" s="11" t="n">
        <v>700336.52</v>
      </c>
      <c r="I87" s="11">
        <f>IF(B87="Actual",H87,IF(D87="Revenue",H87*(1+Scenario_Assumptions!$B$4),H87*(1+Scenario_Assumptions!$B$5)*IF(OR(E87="Product &amp; engineering",E87="General &amp; administrative"),1-Scenario_Assumptions!$B$6,1)))</f>
        <v/>
      </c>
      <c r="J87" s="11">
        <f>(I87-F87)*IF(D87="Revenue",1,-1)</f>
        <v/>
      </c>
    </row>
    <row r="88">
      <c r="A88" t="inlineStr">
        <is>
          <t>2026-04-01</t>
        </is>
      </c>
      <c r="B88" t="inlineStr">
        <is>
          <t>Actual</t>
        </is>
      </c>
      <c r="C88" t="inlineStr">
        <is>
          <t>Customer Solutions</t>
        </is>
      </c>
      <c r="D88" t="inlineStr">
        <is>
          <t>Operating expense</t>
        </is>
      </c>
      <c r="E88" t="inlineStr">
        <is>
          <t>General &amp; administrative</t>
        </is>
      </c>
      <c r="F88" s="11" t="n">
        <v>301000</v>
      </c>
      <c r="G88" s="11" t="n">
        <v>296622.42</v>
      </c>
      <c r="H88" s="11" t="n">
        <v>296622.42</v>
      </c>
      <c r="I88" s="11">
        <f>IF(B88="Actual",H88,IF(D88="Revenue",H88*(1+Scenario_Assumptions!$B$4),H88*(1+Scenario_Assumptions!$B$5)*IF(OR(E88="Product &amp; engineering",E88="General &amp; administrative"),1-Scenario_Assumptions!$B$6,1)))</f>
        <v/>
      </c>
      <c r="J88" s="11">
        <f>(I88-F88)*IF(D88="Revenue",1,-1)</f>
        <v/>
      </c>
    </row>
    <row r="89">
      <c r="A89" t="inlineStr">
        <is>
          <t>2026-05-01</t>
        </is>
      </c>
      <c r="B89" t="inlineStr">
        <is>
          <t>Actual</t>
        </is>
      </c>
      <c r="C89" t="inlineStr">
        <is>
          <t>Enterprise</t>
        </is>
      </c>
      <c r="D89" t="inlineStr">
        <is>
          <t>Revenue</t>
        </is>
      </c>
      <c r="E89" t="inlineStr">
        <is>
          <t>Subscription revenue</t>
        </is>
      </c>
      <c r="F89" s="11" t="n">
        <v>5440041.49</v>
      </c>
      <c r="G89" s="11" t="n">
        <v>5141405.02</v>
      </c>
      <c r="H89" s="11" t="n">
        <v>5141405.02</v>
      </c>
      <c r="I89" s="11">
        <f>IF(B89="Actual",H89,IF(D89="Revenue",H89*(1+Scenario_Assumptions!$B$4),H89*(1+Scenario_Assumptions!$B$5)*IF(OR(E89="Product &amp; engineering",E89="General &amp; administrative"),1-Scenario_Assumptions!$B$6,1)))</f>
        <v/>
      </c>
      <c r="J89" s="11">
        <f>(I89-F89)*IF(D89="Revenue",1,-1)</f>
        <v/>
      </c>
    </row>
    <row r="90">
      <c r="A90" t="inlineStr">
        <is>
          <t>2026-05-01</t>
        </is>
      </c>
      <c r="B90" t="inlineStr">
        <is>
          <t>Actual</t>
        </is>
      </c>
      <c r="C90" t="inlineStr">
        <is>
          <t>Enterprise</t>
        </is>
      </c>
      <c r="D90" t="inlineStr">
        <is>
          <t>Revenue</t>
        </is>
      </c>
      <c r="E90" t="inlineStr">
        <is>
          <t>Professional services revenue</t>
        </is>
      </c>
      <c r="F90" s="11" t="n">
        <v>1224009.34</v>
      </c>
      <c r="G90" s="11" t="n">
        <v>1251150.9</v>
      </c>
      <c r="H90" s="11" t="n">
        <v>1251150.9</v>
      </c>
      <c r="I90" s="11">
        <f>IF(B90="Actual",H90,IF(D90="Revenue",H90*(1+Scenario_Assumptions!$B$4),H90*(1+Scenario_Assumptions!$B$5)*IF(OR(E90="Product &amp; engineering",E90="General &amp; administrative"),1-Scenario_Assumptions!$B$6,1)))</f>
        <v/>
      </c>
      <c r="J90" s="11">
        <f>(I90-F90)*IF(D90="Revenue",1,-1)</f>
        <v/>
      </c>
    </row>
    <row r="91">
      <c r="A91" t="inlineStr">
        <is>
          <t>2026-05-01</t>
        </is>
      </c>
      <c r="B91" t="inlineStr">
        <is>
          <t>Actual</t>
        </is>
      </c>
      <c r="C91" t="inlineStr">
        <is>
          <t>Enterprise</t>
        </is>
      </c>
      <c r="D91" t="inlineStr">
        <is>
          <t>COGS</t>
        </is>
      </c>
      <c r="E91" t="inlineStr">
        <is>
          <t>Cloud hosting</t>
        </is>
      </c>
      <c r="F91" s="11" t="n">
        <v>841500</v>
      </c>
      <c r="G91" s="11" t="n">
        <v>877907.45</v>
      </c>
      <c r="H91" s="11" t="n">
        <v>877907.45</v>
      </c>
      <c r="I91" s="11">
        <f>IF(B91="Actual",H91,IF(D91="Revenue",H91*(1+Scenario_Assumptions!$B$4),H91*(1+Scenario_Assumptions!$B$5)*IF(OR(E91="Product &amp; engineering",E91="General &amp; administrative"),1-Scenario_Assumptions!$B$6,1)))</f>
        <v/>
      </c>
      <c r="J91" s="11">
        <f>(I91-F91)*IF(D91="Revenue",1,-1)</f>
        <v/>
      </c>
    </row>
    <row r="92">
      <c r="A92" t="inlineStr">
        <is>
          <t>2026-05-01</t>
        </is>
      </c>
      <c r="B92" t="inlineStr">
        <is>
          <t>Actual</t>
        </is>
      </c>
      <c r="C92" t="inlineStr">
        <is>
          <t>Enterprise</t>
        </is>
      </c>
      <c r="D92" t="inlineStr">
        <is>
          <t>COGS</t>
        </is>
      </c>
      <c r="E92" t="inlineStr">
        <is>
          <t>Customer support delivery</t>
        </is>
      </c>
      <c r="F92" s="11" t="n">
        <v>404250</v>
      </c>
      <c r="G92" s="11" t="n">
        <v>414482.52</v>
      </c>
      <c r="H92" s="11" t="n">
        <v>414482.52</v>
      </c>
      <c r="I92" s="11">
        <f>IF(B92="Actual",H92,IF(D92="Revenue",H92*(1+Scenario_Assumptions!$B$4),H92*(1+Scenario_Assumptions!$B$5)*IF(OR(E92="Product &amp; engineering",E92="General &amp; administrative"),1-Scenario_Assumptions!$B$6,1)))</f>
        <v/>
      </c>
      <c r="J92" s="11">
        <f>(I92-F92)*IF(D92="Revenue",1,-1)</f>
        <v/>
      </c>
    </row>
    <row r="93">
      <c r="A93" t="inlineStr">
        <is>
          <t>2026-05-01</t>
        </is>
      </c>
      <c r="B93" t="inlineStr">
        <is>
          <t>Actual</t>
        </is>
      </c>
      <c r="C93" t="inlineStr">
        <is>
          <t>Enterprise</t>
        </is>
      </c>
      <c r="D93" t="inlineStr">
        <is>
          <t>Operating expense</t>
        </is>
      </c>
      <c r="E93" t="inlineStr">
        <is>
          <t>Sales &amp; marketing</t>
        </is>
      </c>
      <c r="F93" s="11" t="n">
        <v>1287000</v>
      </c>
      <c r="G93" s="11" t="n">
        <v>1398993.02</v>
      </c>
      <c r="H93" s="11" t="n">
        <v>1398993.02</v>
      </c>
      <c r="I93" s="11">
        <f>IF(B93="Actual",H93,IF(D93="Revenue",H93*(1+Scenario_Assumptions!$B$4),H93*(1+Scenario_Assumptions!$B$5)*IF(OR(E93="Product &amp; engineering",E93="General &amp; administrative"),1-Scenario_Assumptions!$B$6,1)))</f>
        <v/>
      </c>
      <c r="J93" s="11">
        <f>(I93-F93)*IF(D93="Revenue",1,-1)</f>
        <v/>
      </c>
    </row>
    <row r="94">
      <c r="A94" t="inlineStr">
        <is>
          <t>2026-05-01</t>
        </is>
      </c>
      <c r="B94" t="inlineStr">
        <is>
          <t>Actual</t>
        </is>
      </c>
      <c r="C94" t="inlineStr">
        <is>
          <t>Enterprise</t>
        </is>
      </c>
      <c r="D94" t="inlineStr">
        <is>
          <t>Operating expense</t>
        </is>
      </c>
      <c r="E94" t="inlineStr">
        <is>
          <t>Product &amp; engineering</t>
        </is>
      </c>
      <c r="F94" s="11" t="n">
        <v>1631850</v>
      </c>
      <c r="G94" s="11" t="n">
        <v>1707181.55</v>
      </c>
      <c r="H94" s="11" t="n">
        <v>1707181.55</v>
      </c>
      <c r="I94" s="11">
        <f>IF(B94="Actual",H94,IF(D94="Revenue",H94*(1+Scenario_Assumptions!$B$4),H94*(1+Scenario_Assumptions!$B$5)*IF(OR(E94="Product &amp; engineering",E94="General &amp; administrative"),1-Scenario_Assumptions!$B$6,1)))</f>
        <v/>
      </c>
      <c r="J94" s="11">
        <f>(I94-F94)*IF(D94="Revenue",1,-1)</f>
        <v/>
      </c>
    </row>
    <row r="95">
      <c r="A95" t="inlineStr">
        <is>
          <t>2026-05-01</t>
        </is>
      </c>
      <c r="B95" t="inlineStr">
        <is>
          <t>Actual</t>
        </is>
      </c>
      <c r="C95" t="inlineStr">
        <is>
          <t>Enterprise</t>
        </is>
      </c>
      <c r="D95" t="inlineStr">
        <is>
          <t>Operating expense</t>
        </is>
      </c>
      <c r="E95" t="inlineStr">
        <is>
          <t>General &amp; administrative</t>
        </is>
      </c>
      <c r="F95" s="11" t="n">
        <v>709500</v>
      </c>
      <c r="G95" s="11" t="n">
        <v>717754.77</v>
      </c>
      <c r="H95" s="11" t="n">
        <v>717754.77</v>
      </c>
      <c r="I95" s="11">
        <f>IF(B95="Actual",H95,IF(D95="Revenue",H95*(1+Scenario_Assumptions!$B$4),H95*(1+Scenario_Assumptions!$B$5)*IF(OR(E95="Product &amp; engineering",E95="General &amp; administrative"),1-Scenario_Assumptions!$B$6,1)))</f>
        <v/>
      </c>
      <c r="J95" s="11">
        <f>(I95-F95)*IF(D95="Revenue",1,-1)</f>
        <v/>
      </c>
    </row>
    <row r="96">
      <c r="A96" t="inlineStr">
        <is>
          <t>2026-05-01</t>
        </is>
      </c>
      <c r="B96" t="inlineStr">
        <is>
          <t>Actual</t>
        </is>
      </c>
      <c r="C96" t="inlineStr">
        <is>
          <t>SMB</t>
        </is>
      </c>
      <c r="D96" t="inlineStr">
        <is>
          <t>Revenue</t>
        </is>
      </c>
      <c r="E96" t="inlineStr">
        <is>
          <t>Subscription revenue</t>
        </is>
      </c>
      <c r="F96" s="11" t="n">
        <v>3296994.85</v>
      </c>
      <c r="G96" s="11" t="n">
        <v>3025117.6</v>
      </c>
      <c r="H96" s="11" t="n">
        <v>3025117.6</v>
      </c>
      <c r="I96" s="11">
        <f>IF(B96="Actual",H96,IF(D96="Revenue",H96*(1+Scenario_Assumptions!$B$4),H96*(1+Scenario_Assumptions!$B$5)*IF(OR(E96="Product &amp; engineering",E96="General &amp; administrative"),1-Scenario_Assumptions!$B$6,1)))</f>
        <v/>
      </c>
      <c r="J96" s="11">
        <f>(I96-F96)*IF(D96="Revenue",1,-1)</f>
        <v/>
      </c>
    </row>
    <row r="97">
      <c r="A97" t="inlineStr">
        <is>
          <t>2026-05-01</t>
        </is>
      </c>
      <c r="B97" t="inlineStr">
        <is>
          <t>Actual</t>
        </is>
      </c>
      <c r="C97" t="inlineStr">
        <is>
          <t>SMB</t>
        </is>
      </c>
      <c r="D97" t="inlineStr">
        <is>
          <t>Revenue</t>
        </is>
      </c>
      <c r="E97" t="inlineStr">
        <is>
          <t>Professional services revenue</t>
        </is>
      </c>
      <c r="F97" s="11" t="n">
        <v>741823.84</v>
      </c>
      <c r="G97" s="11" t="n">
        <v>700591.45</v>
      </c>
      <c r="H97" s="11" t="n">
        <v>700591.45</v>
      </c>
      <c r="I97" s="11">
        <f>IF(B97="Actual",H97,IF(D97="Revenue",H97*(1+Scenario_Assumptions!$B$4),H97*(1+Scenario_Assumptions!$B$5)*IF(OR(E97="Product &amp; engineering",E97="General &amp; administrative"),1-Scenario_Assumptions!$B$6,1)))</f>
        <v/>
      </c>
      <c r="J97" s="11">
        <f>(I97-F97)*IF(D97="Revenue",1,-1)</f>
        <v/>
      </c>
    </row>
    <row r="98">
      <c r="A98" t="inlineStr">
        <is>
          <t>2026-05-01</t>
        </is>
      </c>
      <c r="B98" t="inlineStr">
        <is>
          <t>Actual</t>
        </is>
      </c>
      <c r="C98" t="inlineStr">
        <is>
          <t>SMB</t>
        </is>
      </c>
      <c r="D98" t="inlineStr">
        <is>
          <t>COGS</t>
        </is>
      </c>
      <c r="E98" t="inlineStr">
        <is>
          <t>Cloud hosting</t>
        </is>
      </c>
      <c r="F98" s="11" t="n">
        <v>510000</v>
      </c>
      <c r="G98" s="11" t="n">
        <v>537033.59</v>
      </c>
      <c r="H98" s="11" t="n">
        <v>537033.59</v>
      </c>
      <c r="I98" s="11">
        <f>IF(B98="Actual",H98,IF(D98="Revenue",H98*(1+Scenario_Assumptions!$B$4),H98*(1+Scenario_Assumptions!$B$5)*IF(OR(E98="Product &amp; engineering",E98="General &amp; administrative"),1-Scenario_Assumptions!$B$6,1)))</f>
        <v/>
      </c>
      <c r="J98" s="11">
        <f>(I98-F98)*IF(D98="Revenue",1,-1)</f>
        <v/>
      </c>
    </row>
    <row r="99">
      <c r="A99" t="inlineStr">
        <is>
          <t>2026-05-01</t>
        </is>
      </c>
      <c r="B99" t="inlineStr">
        <is>
          <t>Actual</t>
        </is>
      </c>
      <c r="C99" t="inlineStr">
        <is>
          <t>SMB</t>
        </is>
      </c>
      <c r="D99" t="inlineStr">
        <is>
          <t>COGS</t>
        </is>
      </c>
      <c r="E99" t="inlineStr">
        <is>
          <t>Customer support delivery</t>
        </is>
      </c>
      <c r="F99" s="11" t="n">
        <v>245000</v>
      </c>
      <c r="G99" s="11" t="n">
        <v>240790.08</v>
      </c>
      <c r="H99" s="11" t="n">
        <v>240790.08</v>
      </c>
      <c r="I99" s="11">
        <f>IF(B99="Actual",H99,IF(D99="Revenue",H99*(1+Scenario_Assumptions!$B$4),H99*(1+Scenario_Assumptions!$B$5)*IF(OR(E99="Product &amp; engineering",E99="General &amp; administrative"),1-Scenario_Assumptions!$B$6,1)))</f>
        <v/>
      </c>
      <c r="J99" s="11">
        <f>(I99-F99)*IF(D99="Revenue",1,-1)</f>
        <v/>
      </c>
    </row>
    <row r="100">
      <c r="A100" t="inlineStr">
        <is>
          <t>2026-05-01</t>
        </is>
      </c>
      <c r="B100" t="inlineStr">
        <is>
          <t>Actual</t>
        </is>
      </c>
      <c r="C100" t="inlineStr">
        <is>
          <t>SMB</t>
        </is>
      </c>
      <c r="D100" t="inlineStr">
        <is>
          <t>Operating expense</t>
        </is>
      </c>
      <c r="E100" t="inlineStr">
        <is>
          <t>Sales &amp; marketing</t>
        </is>
      </c>
      <c r="F100" s="11" t="n">
        <v>780000</v>
      </c>
      <c r="G100" s="11" t="n">
        <v>810281.3100000001</v>
      </c>
      <c r="H100" s="11" t="n">
        <v>810281.3100000001</v>
      </c>
      <c r="I100" s="11">
        <f>IF(B100="Actual",H100,IF(D100="Revenue",H100*(1+Scenario_Assumptions!$B$4),H100*(1+Scenario_Assumptions!$B$5)*IF(OR(E100="Product &amp; engineering",E100="General &amp; administrative"),1-Scenario_Assumptions!$B$6,1)))</f>
        <v/>
      </c>
      <c r="J100" s="11">
        <f>(I100-F100)*IF(D100="Revenue",1,-1)</f>
        <v/>
      </c>
    </row>
    <row r="101">
      <c r="A101" t="inlineStr">
        <is>
          <t>2026-05-01</t>
        </is>
      </c>
      <c r="B101" t="inlineStr">
        <is>
          <t>Actual</t>
        </is>
      </c>
      <c r="C101" t="inlineStr">
        <is>
          <t>SMB</t>
        </is>
      </c>
      <c r="D101" t="inlineStr">
        <is>
          <t>Operating expense</t>
        </is>
      </c>
      <c r="E101" t="inlineStr">
        <is>
          <t>Product &amp; engineering</t>
        </is>
      </c>
      <c r="F101" s="11" t="n">
        <v>989000</v>
      </c>
      <c r="G101" s="11" t="n">
        <v>990911.25</v>
      </c>
      <c r="H101" s="11" t="n">
        <v>990911.25</v>
      </c>
      <c r="I101" s="11">
        <f>IF(B101="Actual",H101,IF(D101="Revenue",H101*(1+Scenario_Assumptions!$B$4),H101*(1+Scenario_Assumptions!$B$5)*IF(OR(E101="Product &amp; engineering",E101="General &amp; administrative"),1-Scenario_Assumptions!$B$6,1)))</f>
        <v/>
      </c>
      <c r="J101" s="11">
        <f>(I101-F101)*IF(D101="Revenue",1,-1)</f>
        <v/>
      </c>
    </row>
    <row r="102">
      <c r="A102" t="inlineStr">
        <is>
          <t>2026-05-01</t>
        </is>
      </c>
      <c r="B102" t="inlineStr">
        <is>
          <t>Actual</t>
        </is>
      </c>
      <c r="C102" t="inlineStr">
        <is>
          <t>SMB</t>
        </is>
      </c>
      <c r="D102" t="inlineStr">
        <is>
          <t>Operating expense</t>
        </is>
      </c>
      <c r="E102" t="inlineStr">
        <is>
          <t>General &amp; administrative</t>
        </is>
      </c>
      <c r="F102" s="11" t="n">
        <v>430000</v>
      </c>
      <c r="G102" s="11" t="n">
        <v>417129.6</v>
      </c>
      <c r="H102" s="11" t="n">
        <v>417129.6</v>
      </c>
      <c r="I102" s="11">
        <f>IF(B102="Actual",H102,IF(D102="Revenue",H102*(1+Scenario_Assumptions!$B$4),H102*(1+Scenario_Assumptions!$B$5)*IF(OR(E102="Product &amp; engineering",E102="General &amp; administrative"),1-Scenario_Assumptions!$B$6,1)))</f>
        <v/>
      </c>
      <c r="J102" s="11">
        <f>(I102-F102)*IF(D102="Revenue",1,-1)</f>
        <v/>
      </c>
    </row>
    <row r="103">
      <c r="A103" t="inlineStr">
        <is>
          <t>2026-05-01</t>
        </is>
      </c>
      <c r="B103" t="inlineStr">
        <is>
          <t>Actual</t>
        </is>
      </c>
      <c r="C103" t="inlineStr">
        <is>
          <t>Customer Solutions</t>
        </is>
      </c>
      <c r="D103" t="inlineStr">
        <is>
          <t>Revenue</t>
        </is>
      </c>
      <c r="E103" t="inlineStr">
        <is>
          <t>Subscription revenue</t>
        </is>
      </c>
      <c r="F103" s="11" t="n">
        <v>2307896.39</v>
      </c>
      <c r="G103" s="11" t="n">
        <v>2273264.92</v>
      </c>
      <c r="H103" s="11" t="n">
        <v>2273264.92</v>
      </c>
      <c r="I103" s="11">
        <f>IF(B103="Actual",H103,IF(D103="Revenue",H103*(1+Scenario_Assumptions!$B$4),H103*(1+Scenario_Assumptions!$B$5)*IF(OR(E103="Product &amp; engineering",E103="General &amp; administrative"),1-Scenario_Assumptions!$B$6,1)))</f>
        <v/>
      </c>
      <c r="J103" s="11">
        <f>(I103-F103)*IF(D103="Revenue",1,-1)</f>
        <v/>
      </c>
    </row>
    <row r="104">
      <c r="A104" t="inlineStr">
        <is>
          <t>2026-05-01</t>
        </is>
      </c>
      <c r="B104" t="inlineStr">
        <is>
          <t>Actual</t>
        </is>
      </c>
      <c r="C104" t="inlineStr">
        <is>
          <t>Customer Solutions</t>
        </is>
      </c>
      <c r="D104" t="inlineStr">
        <is>
          <t>Revenue</t>
        </is>
      </c>
      <c r="E104" t="inlineStr">
        <is>
          <t>Professional services revenue</t>
        </is>
      </c>
      <c r="F104" s="11" t="n">
        <v>519276.69</v>
      </c>
      <c r="G104" s="11" t="n">
        <v>512714.6</v>
      </c>
      <c r="H104" s="11" t="n">
        <v>512714.6</v>
      </c>
      <c r="I104" s="11">
        <f>IF(B104="Actual",H104,IF(D104="Revenue",H104*(1+Scenario_Assumptions!$B$4),H104*(1+Scenario_Assumptions!$B$5)*IF(OR(E104="Product &amp; engineering",E104="General &amp; administrative"),1-Scenario_Assumptions!$B$6,1)))</f>
        <v/>
      </c>
      <c r="J104" s="11">
        <f>(I104-F104)*IF(D104="Revenue",1,-1)</f>
        <v/>
      </c>
    </row>
    <row r="105">
      <c r="A105" t="inlineStr">
        <is>
          <t>2026-05-01</t>
        </is>
      </c>
      <c r="B105" t="inlineStr">
        <is>
          <t>Actual</t>
        </is>
      </c>
      <c r="C105" t="inlineStr">
        <is>
          <t>Customer Solutions</t>
        </is>
      </c>
      <c r="D105" t="inlineStr">
        <is>
          <t>COGS</t>
        </is>
      </c>
      <c r="E105" t="inlineStr">
        <is>
          <t>Cloud hosting</t>
        </is>
      </c>
      <c r="F105" s="11" t="n">
        <v>357000</v>
      </c>
      <c r="G105" s="11" t="n">
        <v>373259.9</v>
      </c>
      <c r="H105" s="11" t="n">
        <v>373259.9</v>
      </c>
      <c r="I105" s="11">
        <f>IF(B105="Actual",H105,IF(D105="Revenue",H105*(1+Scenario_Assumptions!$B$4),H105*(1+Scenario_Assumptions!$B$5)*IF(OR(E105="Product &amp; engineering",E105="General &amp; administrative"),1-Scenario_Assumptions!$B$6,1)))</f>
        <v/>
      </c>
      <c r="J105" s="11">
        <f>(I105-F105)*IF(D105="Revenue",1,-1)</f>
        <v/>
      </c>
    </row>
    <row r="106">
      <c r="A106" t="inlineStr">
        <is>
          <t>2026-05-01</t>
        </is>
      </c>
      <c r="B106" t="inlineStr">
        <is>
          <t>Actual</t>
        </is>
      </c>
      <c r="C106" t="inlineStr">
        <is>
          <t>Customer Solutions</t>
        </is>
      </c>
      <c r="D106" t="inlineStr">
        <is>
          <t>COGS</t>
        </is>
      </c>
      <c r="E106" t="inlineStr">
        <is>
          <t>Customer support delivery</t>
        </is>
      </c>
      <c r="F106" s="11" t="n">
        <v>171500</v>
      </c>
      <c r="G106" s="11" t="n">
        <v>181357.94</v>
      </c>
      <c r="H106" s="11" t="n">
        <v>181357.94</v>
      </c>
      <c r="I106" s="11">
        <f>IF(B106="Actual",H106,IF(D106="Revenue",H106*(1+Scenario_Assumptions!$B$4),H106*(1+Scenario_Assumptions!$B$5)*IF(OR(E106="Product &amp; engineering",E106="General &amp; administrative"),1-Scenario_Assumptions!$B$6,1)))</f>
        <v/>
      </c>
      <c r="J106" s="11">
        <f>(I106-F106)*IF(D106="Revenue",1,-1)</f>
        <v/>
      </c>
    </row>
    <row r="107">
      <c r="A107" t="inlineStr">
        <is>
          <t>2026-05-01</t>
        </is>
      </c>
      <c r="B107" t="inlineStr">
        <is>
          <t>Actual</t>
        </is>
      </c>
      <c r="C107" t="inlineStr">
        <is>
          <t>Customer Solutions</t>
        </is>
      </c>
      <c r="D107" t="inlineStr">
        <is>
          <t>Operating expense</t>
        </is>
      </c>
      <c r="E107" t="inlineStr">
        <is>
          <t>Sales &amp; marketing</t>
        </is>
      </c>
      <c r="F107" s="11" t="n">
        <v>546000</v>
      </c>
      <c r="G107" s="11" t="n">
        <v>582087</v>
      </c>
      <c r="H107" s="11" t="n">
        <v>582087</v>
      </c>
      <c r="I107" s="11">
        <f>IF(B107="Actual",H107,IF(D107="Revenue",H107*(1+Scenario_Assumptions!$B$4),H107*(1+Scenario_Assumptions!$B$5)*IF(OR(E107="Product &amp; engineering",E107="General &amp; administrative"),1-Scenario_Assumptions!$B$6,1)))</f>
        <v/>
      </c>
      <c r="J107" s="11">
        <f>(I107-F107)*IF(D107="Revenue",1,-1)</f>
        <v/>
      </c>
    </row>
    <row r="108">
      <c r="A108" t="inlineStr">
        <is>
          <t>2026-05-01</t>
        </is>
      </c>
      <c r="B108" t="inlineStr">
        <is>
          <t>Actual</t>
        </is>
      </c>
      <c r="C108" t="inlineStr">
        <is>
          <t>Customer Solutions</t>
        </is>
      </c>
      <c r="D108" t="inlineStr">
        <is>
          <t>Operating expense</t>
        </is>
      </c>
      <c r="E108" t="inlineStr">
        <is>
          <t>Product &amp; engineering</t>
        </is>
      </c>
      <c r="F108" s="11" t="n">
        <v>692300</v>
      </c>
      <c r="G108" s="11" t="n">
        <v>729295.05</v>
      </c>
      <c r="H108" s="11" t="n">
        <v>729295.05</v>
      </c>
      <c r="I108" s="11">
        <f>IF(B108="Actual",H108,IF(D108="Revenue",H108*(1+Scenario_Assumptions!$B$4),H108*(1+Scenario_Assumptions!$B$5)*IF(OR(E108="Product &amp; engineering",E108="General &amp; administrative"),1-Scenario_Assumptions!$B$6,1)))</f>
        <v/>
      </c>
      <c r="J108" s="11">
        <f>(I108-F108)*IF(D108="Revenue",1,-1)</f>
        <v/>
      </c>
    </row>
    <row r="109">
      <c r="A109" t="inlineStr">
        <is>
          <t>2026-05-01</t>
        </is>
      </c>
      <c r="B109" t="inlineStr">
        <is>
          <t>Actual</t>
        </is>
      </c>
      <c r="C109" t="inlineStr">
        <is>
          <t>Customer Solutions</t>
        </is>
      </c>
      <c r="D109" t="inlineStr">
        <is>
          <t>Operating expense</t>
        </is>
      </c>
      <c r="E109" t="inlineStr">
        <is>
          <t>General &amp; administrative</t>
        </is>
      </c>
      <c r="F109" s="11" t="n">
        <v>301000</v>
      </c>
      <c r="G109" s="11" t="n">
        <v>292469.53</v>
      </c>
      <c r="H109" s="11" t="n">
        <v>292469.53</v>
      </c>
      <c r="I109" s="11">
        <f>IF(B109="Actual",H109,IF(D109="Revenue",H109*(1+Scenario_Assumptions!$B$4),H109*(1+Scenario_Assumptions!$B$5)*IF(OR(E109="Product &amp; engineering",E109="General &amp; administrative"),1-Scenario_Assumptions!$B$6,1)))</f>
        <v/>
      </c>
      <c r="J109" s="11">
        <f>(I109-F109)*IF(D109="Revenue",1,-1)</f>
        <v/>
      </c>
    </row>
    <row r="110">
      <c r="A110" t="inlineStr">
        <is>
          <t>2026-06-01</t>
        </is>
      </c>
      <c r="B110" t="inlineStr">
        <is>
          <t>Actual</t>
        </is>
      </c>
      <c r="C110" t="inlineStr">
        <is>
          <t>Enterprise</t>
        </is>
      </c>
      <c r="D110" t="inlineStr">
        <is>
          <t>Revenue</t>
        </is>
      </c>
      <c r="E110" t="inlineStr">
        <is>
          <t>Subscription revenue</t>
        </is>
      </c>
      <c r="F110" s="11" t="n">
        <v>5372400</v>
      </c>
      <c r="G110" s="11" t="n">
        <v>5210497.68</v>
      </c>
      <c r="H110" s="11" t="n">
        <v>5210497.68</v>
      </c>
      <c r="I110" s="11">
        <f>IF(B110="Actual",H110,IF(D110="Revenue",H110*(1+Scenario_Assumptions!$B$4),H110*(1+Scenario_Assumptions!$B$5)*IF(OR(E110="Product &amp; engineering",E110="General &amp; administrative"),1-Scenario_Assumptions!$B$6,1)))</f>
        <v/>
      </c>
      <c r="J110" s="11">
        <f>(I110-F110)*IF(D110="Revenue",1,-1)</f>
        <v/>
      </c>
    </row>
    <row r="111">
      <c r="A111" t="inlineStr">
        <is>
          <t>2026-06-01</t>
        </is>
      </c>
      <c r="B111" t="inlineStr">
        <is>
          <t>Actual</t>
        </is>
      </c>
      <c r="C111" t="inlineStr">
        <is>
          <t>Enterprise</t>
        </is>
      </c>
      <c r="D111" t="inlineStr">
        <is>
          <t>Revenue</t>
        </is>
      </c>
      <c r="E111" t="inlineStr">
        <is>
          <t>Professional services revenue</t>
        </is>
      </c>
      <c r="F111" s="11" t="n">
        <v>1208790</v>
      </c>
      <c r="G111" s="11" t="n">
        <v>1192168.47</v>
      </c>
      <c r="H111" s="11" t="n">
        <v>1192168.47</v>
      </c>
      <c r="I111" s="11">
        <f>IF(B111="Actual",H111,IF(D111="Revenue",H111*(1+Scenario_Assumptions!$B$4),H111*(1+Scenario_Assumptions!$B$5)*IF(OR(E111="Product &amp; engineering",E111="General &amp; administrative"),1-Scenario_Assumptions!$B$6,1)))</f>
        <v/>
      </c>
      <c r="J111" s="11">
        <f>(I111-F111)*IF(D111="Revenue",1,-1)</f>
        <v/>
      </c>
    </row>
    <row r="112">
      <c r="A112" t="inlineStr">
        <is>
          <t>2026-06-01</t>
        </is>
      </c>
      <c r="B112" t="inlineStr">
        <is>
          <t>Actual</t>
        </is>
      </c>
      <c r="C112" t="inlineStr">
        <is>
          <t>Enterprise</t>
        </is>
      </c>
      <c r="D112" t="inlineStr">
        <is>
          <t>COGS</t>
        </is>
      </c>
      <c r="E112" t="inlineStr">
        <is>
          <t>Cloud hosting</t>
        </is>
      </c>
      <c r="F112" s="11" t="n">
        <v>841500</v>
      </c>
      <c r="G112" s="11" t="n">
        <v>901687.59</v>
      </c>
      <c r="H112" s="11" t="n">
        <v>901687.59</v>
      </c>
      <c r="I112" s="11">
        <f>IF(B112="Actual",H112,IF(D112="Revenue",H112*(1+Scenario_Assumptions!$B$4),H112*(1+Scenario_Assumptions!$B$5)*IF(OR(E112="Product &amp; engineering",E112="General &amp; administrative"),1-Scenario_Assumptions!$B$6,1)))</f>
        <v/>
      </c>
      <c r="J112" s="11">
        <f>(I112-F112)*IF(D112="Revenue",1,-1)</f>
        <v/>
      </c>
    </row>
    <row r="113">
      <c r="A113" t="inlineStr">
        <is>
          <t>2026-06-01</t>
        </is>
      </c>
      <c r="B113" t="inlineStr">
        <is>
          <t>Actual</t>
        </is>
      </c>
      <c r="C113" t="inlineStr">
        <is>
          <t>Enterprise</t>
        </is>
      </c>
      <c r="D113" t="inlineStr">
        <is>
          <t>COGS</t>
        </is>
      </c>
      <c r="E113" t="inlineStr">
        <is>
          <t>Customer support delivery</t>
        </is>
      </c>
      <c r="F113" s="11" t="n">
        <v>404250</v>
      </c>
      <c r="G113" s="11" t="n">
        <v>432954.86</v>
      </c>
      <c r="H113" s="11" t="n">
        <v>432954.86</v>
      </c>
      <c r="I113" s="11">
        <f>IF(B113="Actual",H113,IF(D113="Revenue",H113*(1+Scenario_Assumptions!$B$4),H113*(1+Scenario_Assumptions!$B$5)*IF(OR(E113="Product &amp; engineering",E113="General &amp; administrative"),1-Scenario_Assumptions!$B$6,1)))</f>
        <v/>
      </c>
      <c r="J113" s="11">
        <f>(I113-F113)*IF(D113="Revenue",1,-1)</f>
        <v/>
      </c>
    </row>
    <row r="114">
      <c r="A114" t="inlineStr">
        <is>
          <t>2026-06-01</t>
        </is>
      </c>
      <c r="B114" t="inlineStr">
        <is>
          <t>Actual</t>
        </is>
      </c>
      <c r="C114" t="inlineStr">
        <is>
          <t>Enterprise</t>
        </is>
      </c>
      <c r="D114" t="inlineStr">
        <is>
          <t>Operating expense</t>
        </is>
      </c>
      <c r="E114" t="inlineStr">
        <is>
          <t>Sales &amp; marketing</t>
        </is>
      </c>
      <c r="F114" s="11" t="n">
        <v>1287000</v>
      </c>
      <c r="G114" s="11" t="n">
        <v>1360123.47</v>
      </c>
      <c r="H114" s="11" t="n">
        <v>1360123.47</v>
      </c>
      <c r="I114" s="11">
        <f>IF(B114="Actual",H114,IF(D114="Revenue",H114*(1+Scenario_Assumptions!$B$4),H114*(1+Scenario_Assumptions!$B$5)*IF(OR(E114="Product &amp; engineering",E114="General &amp; administrative"),1-Scenario_Assumptions!$B$6,1)))</f>
        <v/>
      </c>
      <c r="J114" s="11">
        <f>(I114-F114)*IF(D114="Revenue",1,-1)</f>
        <v/>
      </c>
    </row>
    <row r="115">
      <c r="A115" t="inlineStr">
        <is>
          <t>2026-06-01</t>
        </is>
      </c>
      <c r="B115" t="inlineStr">
        <is>
          <t>Actual</t>
        </is>
      </c>
      <c r="C115" t="inlineStr">
        <is>
          <t>Enterprise</t>
        </is>
      </c>
      <c r="D115" t="inlineStr">
        <is>
          <t>Operating expense</t>
        </is>
      </c>
      <c r="E115" t="inlineStr">
        <is>
          <t>Product &amp; engineering</t>
        </is>
      </c>
      <c r="F115" s="11" t="n">
        <v>1654620</v>
      </c>
      <c r="G115" s="11" t="n">
        <v>1771867.35</v>
      </c>
      <c r="H115" s="11" t="n">
        <v>1771867.35</v>
      </c>
      <c r="I115" s="11">
        <f>IF(B115="Actual",H115,IF(D115="Revenue",H115*(1+Scenario_Assumptions!$B$4),H115*(1+Scenario_Assumptions!$B$5)*IF(OR(E115="Product &amp; engineering",E115="General &amp; administrative"),1-Scenario_Assumptions!$B$6,1)))</f>
        <v/>
      </c>
      <c r="J115" s="11">
        <f>(I115-F115)*IF(D115="Revenue",1,-1)</f>
        <v/>
      </c>
    </row>
    <row r="116">
      <c r="A116" t="inlineStr">
        <is>
          <t>2026-06-01</t>
        </is>
      </c>
      <c r="B116" t="inlineStr">
        <is>
          <t>Actual</t>
        </is>
      </c>
      <c r="C116" t="inlineStr">
        <is>
          <t>Enterprise</t>
        </is>
      </c>
      <c r="D116" t="inlineStr">
        <is>
          <t>Operating expense</t>
        </is>
      </c>
      <c r="E116" t="inlineStr">
        <is>
          <t>General &amp; administrative</t>
        </is>
      </c>
      <c r="F116" s="11" t="n">
        <v>709500</v>
      </c>
      <c r="G116" s="11" t="n">
        <v>727906.84</v>
      </c>
      <c r="H116" s="11" t="n">
        <v>727906.84</v>
      </c>
      <c r="I116" s="11">
        <f>IF(B116="Actual",H116,IF(D116="Revenue",H116*(1+Scenario_Assumptions!$B$4),H116*(1+Scenario_Assumptions!$B$5)*IF(OR(E116="Product &amp; engineering",E116="General &amp; administrative"),1-Scenario_Assumptions!$B$6,1)))</f>
        <v/>
      </c>
      <c r="J116" s="11">
        <f>(I116-F116)*IF(D116="Revenue",1,-1)</f>
        <v/>
      </c>
    </row>
    <row r="117">
      <c r="A117" t="inlineStr">
        <is>
          <t>2026-06-01</t>
        </is>
      </c>
      <c r="B117" t="inlineStr">
        <is>
          <t>Actual</t>
        </is>
      </c>
      <c r="C117" t="inlineStr">
        <is>
          <t>SMB</t>
        </is>
      </c>
      <c r="D117" t="inlineStr">
        <is>
          <t>Revenue</t>
        </is>
      </c>
      <c r="E117" t="inlineStr">
        <is>
          <t>Subscription revenue</t>
        </is>
      </c>
      <c r="F117" s="11" t="n">
        <v>3256000</v>
      </c>
      <c r="G117" s="11" t="n">
        <v>2947156.19</v>
      </c>
      <c r="H117" s="11" t="n">
        <v>2947156.19</v>
      </c>
      <c r="I117" s="11">
        <f>IF(B117="Actual",H117,IF(D117="Revenue",H117*(1+Scenario_Assumptions!$B$4),H117*(1+Scenario_Assumptions!$B$5)*IF(OR(E117="Product &amp; engineering",E117="General &amp; administrative"),1-Scenario_Assumptions!$B$6,1)))</f>
        <v/>
      </c>
      <c r="J117" s="11">
        <f>(I117-F117)*IF(D117="Revenue",1,-1)</f>
        <v/>
      </c>
    </row>
    <row r="118">
      <c r="A118" t="inlineStr">
        <is>
          <t>2026-06-01</t>
        </is>
      </c>
      <c r="B118" t="inlineStr">
        <is>
          <t>Actual</t>
        </is>
      </c>
      <c r="C118" t="inlineStr">
        <is>
          <t>SMB</t>
        </is>
      </c>
      <c r="D118" t="inlineStr">
        <is>
          <t>Revenue</t>
        </is>
      </c>
      <c r="E118" t="inlineStr">
        <is>
          <t>Professional services revenue</t>
        </is>
      </c>
      <c r="F118" s="11" t="n">
        <v>732600</v>
      </c>
      <c r="G118" s="11" t="n">
        <v>673148.45</v>
      </c>
      <c r="H118" s="11" t="n">
        <v>673148.45</v>
      </c>
      <c r="I118" s="11">
        <f>IF(B118="Actual",H118,IF(D118="Revenue",H118*(1+Scenario_Assumptions!$B$4),H118*(1+Scenario_Assumptions!$B$5)*IF(OR(E118="Product &amp; engineering",E118="General &amp; administrative"),1-Scenario_Assumptions!$B$6,1)))</f>
        <v/>
      </c>
      <c r="J118" s="11">
        <f>(I118-F118)*IF(D118="Revenue",1,-1)</f>
        <v/>
      </c>
    </row>
    <row r="119">
      <c r="A119" t="inlineStr">
        <is>
          <t>2026-06-01</t>
        </is>
      </c>
      <c r="B119" t="inlineStr">
        <is>
          <t>Actual</t>
        </is>
      </c>
      <c r="C119" t="inlineStr">
        <is>
          <t>SMB</t>
        </is>
      </c>
      <c r="D119" t="inlineStr">
        <is>
          <t>COGS</t>
        </is>
      </c>
      <c r="E119" t="inlineStr">
        <is>
          <t>Cloud hosting</t>
        </is>
      </c>
      <c r="F119" s="11" t="n">
        <v>510000</v>
      </c>
      <c r="G119" s="11" t="n">
        <v>551719.65</v>
      </c>
      <c r="H119" s="11" t="n">
        <v>551719.65</v>
      </c>
      <c r="I119" s="11">
        <f>IF(B119="Actual",H119,IF(D119="Revenue",H119*(1+Scenario_Assumptions!$B$4),H119*(1+Scenario_Assumptions!$B$5)*IF(OR(E119="Product &amp; engineering",E119="General &amp; administrative"),1-Scenario_Assumptions!$B$6,1)))</f>
        <v/>
      </c>
      <c r="J119" s="11">
        <f>(I119-F119)*IF(D119="Revenue",1,-1)</f>
        <v/>
      </c>
    </row>
    <row r="120">
      <c r="A120" t="inlineStr">
        <is>
          <t>2026-06-01</t>
        </is>
      </c>
      <c r="B120" t="inlineStr">
        <is>
          <t>Actual</t>
        </is>
      </c>
      <c r="C120" t="inlineStr">
        <is>
          <t>SMB</t>
        </is>
      </c>
      <c r="D120" t="inlineStr">
        <is>
          <t>COGS</t>
        </is>
      </c>
      <c r="E120" t="inlineStr">
        <is>
          <t>Customer support delivery</t>
        </is>
      </c>
      <c r="F120" s="11" t="n">
        <v>245000</v>
      </c>
      <c r="G120" s="11" t="n">
        <v>254006.86</v>
      </c>
      <c r="H120" s="11" t="n">
        <v>254006.86</v>
      </c>
      <c r="I120" s="11">
        <f>IF(B120="Actual",H120,IF(D120="Revenue",H120*(1+Scenario_Assumptions!$B$4),H120*(1+Scenario_Assumptions!$B$5)*IF(OR(E120="Product &amp; engineering",E120="General &amp; administrative"),1-Scenario_Assumptions!$B$6,1)))</f>
        <v/>
      </c>
      <c r="J120" s="11">
        <f>(I120-F120)*IF(D120="Revenue",1,-1)</f>
        <v/>
      </c>
    </row>
    <row r="121">
      <c r="A121" t="inlineStr">
        <is>
          <t>2026-06-01</t>
        </is>
      </c>
      <c r="B121" t="inlineStr">
        <is>
          <t>Actual</t>
        </is>
      </c>
      <c r="C121" t="inlineStr">
        <is>
          <t>SMB</t>
        </is>
      </c>
      <c r="D121" t="inlineStr">
        <is>
          <t>Operating expense</t>
        </is>
      </c>
      <c r="E121" t="inlineStr">
        <is>
          <t>Sales &amp; marketing</t>
        </is>
      </c>
      <c r="F121" s="11" t="n">
        <v>780000</v>
      </c>
      <c r="G121" s="11" t="n">
        <v>862537.1899999999</v>
      </c>
      <c r="H121" s="11" t="n">
        <v>862537.1899999999</v>
      </c>
      <c r="I121" s="11">
        <f>IF(B121="Actual",H121,IF(D121="Revenue",H121*(1+Scenario_Assumptions!$B$4),H121*(1+Scenario_Assumptions!$B$5)*IF(OR(E121="Product &amp; engineering",E121="General &amp; administrative"),1-Scenario_Assumptions!$B$6,1)))</f>
        <v/>
      </c>
      <c r="J121" s="11">
        <f>(I121-F121)*IF(D121="Revenue",1,-1)</f>
        <v/>
      </c>
    </row>
    <row r="122">
      <c r="A122" t="inlineStr">
        <is>
          <t>2026-06-01</t>
        </is>
      </c>
      <c r="B122" t="inlineStr">
        <is>
          <t>Actual</t>
        </is>
      </c>
      <c r="C122" t="inlineStr">
        <is>
          <t>SMB</t>
        </is>
      </c>
      <c r="D122" t="inlineStr">
        <is>
          <t>Operating expense</t>
        </is>
      </c>
      <c r="E122" t="inlineStr">
        <is>
          <t>Product &amp; engineering</t>
        </is>
      </c>
      <c r="F122" s="11" t="n">
        <v>1002800</v>
      </c>
      <c r="G122" s="11" t="n">
        <v>1063515.83</v>
      </c>
      <c r="H122" s="11" t="n">
        <v>1063515.83</v>
      </c>
      <c r="I122" s="11">
        <f>IF(B122="Actual",H122,IF(D122="Revenue",H122*(1+Scenario_Assumptions!$B$4),H122*(1+Scenario_Assumptions!$B$5)*IF(OR(E122="Product &amp; engineering",E122="General &amp; administrative"),1-Scenario_Assumptions!$B$6,1)))</f>
        <v/>
      </c>
      <c r="J122" s="11">
        <f>(I122-F122)*IF(D122="Revenue",1,-1)</f>
        <v/>
      </c>
    </row>
    <row r="123">
      <c r="A123" t="inlineStr">
        <is>
          <t>2026-06-01</t>
        </is>
      </c>
      <c r="B123" t="inlineStr">
        <is>
          <t>Actual</t>
        </is>
      </c>
      <c r="C123" t="inlineStr">
        <is>
          <t>SMB</t>
        </is>
      </c>
      <c r="D123" t="inlineStr">
        <is>
          <t>Operating expense</t>
        </is>
      </c>
      <c r="E123" t="inlineStr">
        <is>
          <t>General &amp; administrative</t>
        </is>
      </c>
      <c r="F123" s="11" t="n">
        <v>430000</v>
      </c>
      <c r="G123" s="11" t="n">
        <v>455819.12</v>
      </c>
      <c r="H123" s="11" t="n">
        <v>455819.12</v>
      </c>
      <c r="I123" s="11">
        <f>IF(B123="Actual",H123,IF(D123="Revenue",H123*(1+Scenario_Assumptions!$B$4),H123*(1+Scenario_Assumptions!$B$5)*IF(OR(E123="Product &amp; engineering",E123="General &amp; administrative"),1-Scenario_Assumptions!$B$6,1)))</f>
        <v/>
      </c>
      <c r="J123" s="11">
        <f>(I123-F123)*IF(D123="Revenue",1,-1)</f>
        <v/>
      </c>
    </row>
    <row r="124">
      <c r="A124" t="inlineStr">
        <is>
          <t>2026-06-01</t>
        </is>
      </c>
      <c r="B124" t="inlineStr">
        <is>
          <t>Actual</t>
        </is>
      </c>
      <c r="C124" t="inlineStr">
        <is>
          <t>Customer Solutions</t>
        </is>
      </c>
      <c r="D124" t="inlineStr">
        <is>
          <t>Revenue</t>
        </is>
      </c>
      <c r="E124" t="inlineStr">
        <is>
          <t>Subscription revenue</t>
        </is>
      </c>
      <c r="F124" s="11" t="n">
        <v>2279200</v>
      </c>
      <c r="G124" s="11" t="n">
        <v>2208581.52</v>
      </c>
      <c r="H124" s="11" t="n">
        <v>2208581.52</v>
      </c>
      <c r="I124" s="11">
        <f>IF(B124="Actual",H124,IF(D124="Revenue",H124*(1+Scenario_Assumptions!$B$4),H124*(1+Scenario_Assumptions!$B$5)*IF(OR(E124="Product &amp; engineering",E124="General &amp; administrative"),1-Scenario_Assumptions!$B$6,1)))</f>
        <v/>
      </c>
      <c r="J124" s="11">
        <f>(I124-F124)*IF(D124="Revenue",1,-1)</f>
        <v/>
      </c>
    </row>
    <row r="125">
      <c r="A125" t="inlineStr">
        <is>
          <t>2026-06-01</t>
        </is>
      </c>
      <c r="B125" t="inlineStr">
        <is>
          <t>Actual</t>
        </is>
      </c>
      <c r="C125" t="inlineStr">
        <is>
          <t>Customer Solutions</t>
        </is>
      </c>
      <c r="D125" t="inlineStr">
        <is>
          <t>Revenue</t>
        </is>
      </c>
      <c r="E125" t="inlineStr">
        <is>
          <t>Professional services revenue</t>
        </is>
      </c>
      <c r="F125" s="11" t="n">
        <v>512820</v>
      </c>
      <c r="G125" s="11" t="n">
        <v>504826.45</v>
      </c>
      <c r="H125" s="11" t="n">
        <v>504826.45</v>
      </c>
      <c r="I125" s="11">
        <f>IF(B125="Actual",H125,IF(D125="Revenue",H125*(1+Scenario_Assumptions!$B$4),H125*(1+Scenario_Assumptions!$B$5)*IF(OR(E125="Product &amp; engineering",E125="General &amp; administrative"),1-Scenario_Assumptions!$B$6,1)))</f>
        <v/>
      </c>
      <c r="J125" s="11">
        <f>(I125-F125)*IF(D125="Revenue",1,-1)</f>
        <v/>
      </c>
    </row>
    <row r="126">
      <c r="A126" t="inlineStr">
        <is>
          <t>2026-06-01</t>
        </is>
      </c>
      <c r="B126" t="inlineStr">
        <is>
          <t>Actual</t>
        </is>
      </c>
      <c r="C126" t="inlineStr">
        <is>
          <t>Customer Solutions</t>
        </is>
      </c>
      <c r="D126" t="inlineStr">
        <is>
          <t>COGS</t>
        </is>
      </c>
      <c r="E126" t="inlineStr">
        <is>
          <t>Cloud hosting</t>
        </is>
      </c>
      <c r="F126" s="11" t="n">
        <v>357000</v>
      </c>
      <c r="G126" s="11" t="n">
        <v>387160.04</v>
      </c>
      <c r="H126" s="11" t="n">
        <v>387160.04</v>
      </c>
      <c r="I126" s="11">
        <f>IF(B126="Actual",H126,IF(D126="Revenue",H126*(1+Scenario_Assumptions!$B$4),H126*(1+Scenario_Assumptions!$B$5)*IF(OR(E126="Product &amp; engineering",E126="General &amp; administrative"),1-Scenario_Assumptions!$B$6,1)))</f>
        <v/>
      </c>
      <c r="J126" s="11">
        <f>(I126-F126)*IF(D126="Revenue",1,-1)</f>
        <v/>
      </c>
    </row>
    <row r="127">
      <c r="A127" t="inlineStr">
        <is>
          <t>2026-06-01</t>
        </is>
      </c>
      <c r="B127" t="inlineStr">
        <is>
          <t>Actual</t>
        </is>
      </c>
      <c r="C127" t="inlineStr">
        <is>
          <t>Customer Solutions</t>
        </is>
      </c>
      <c r="D127" t="inlineStr">
        <is>
          <t>COGS</t>
        </is>
      </c>
      <c r="E127" t="inlineStr">
        <is>
          <t>Customer support delivery</t>
        </is>
      </c>
      <c r="F127" s="11" t="n">
        <v>171500</v>
      </c>
      <c r="G127" s="11" t="n">
        <v>181018.24</v>
      </c>
      <c r="H127" s="11" t="n">
        <v>181018.24</v>
      </c>
      <c r="I127" s="11">
        <f>IF(B127="Actual",H127,IF(D127="Revenue",H127*(1+Scenario_Assumptions!$B$4),H127*(1+Scenario_Assumptions!$B$5)*IF(OR(E127="Product &amp; engineering",E127="General &amp; administrative"),1-Scenario_Assumptions!$B$6,1)))</f>
        <v/>
      </c>
      <c r="J127" s="11">
        <f>(I127-F127)*IF(D127="Revenue",1,-1)</f>
        <v/>
      </c>
    </row>
    <row r="128">
      <c r="A128" t="inlineStr">
        <is>
          <t>2026-06-01</t>
        </is>
      </c>
      <c r="B128" t="inlineStr">
        <is>
          <t>Actual</t>
        </is>
      </c>
      <c r="C128" t="inlineStr">
        <is>
          <t>Customer Solutions</t>
        </is>
      </c>
      <c r="D128" t="inlineStr">
        <is>
          <t>Operating expense</t>
        </is>
      </c>
      <c r="E128" t="inlineStr">
        <is>
          <t>Sales &amp; marketing</t>
        </is>
      </c>
      <c r="F128" s="11" t="n">
        <v>546000</v>
      </c>
      <c r="G128" s="11" t="n">
        <v>619152.91</v>
      </c>
      <c r="H128" s="11" t="n">
        <v>619152.91</v>
      </c>
      <c r="I128" s="11">
        <f>IF(B128="Actual",H128,IF(D128="Revenue",H128*(1+Scenario_Assumptions!$B$4),H128*(1+Scenario_Assumptions!$B$5)*IF(OR(E128="Product &amp; engineering",E128="General &amp; administrative"),1-Scenario_Assumptions!$B$6,1)))</f>
        <v/>
      </c>
      <c r="J128" s="11">
        <f>(I128-F128)*IF(D128="Revenue",1,-1)</f>
        <v/>
      </c>
    </row>
    <row r="129">
      <c r="A129" t="inlineStr">
        <is>
          <t>2026-06-01</t>
        </is>
      </c>
      <c r="B129" t="inlineStr">
        <is>
          <t>Actual</t>
        </is>
      </c>
      <c r="C129" t="inlineStr">
        <is>
          <t>Customer Solutions</t>
        </is>
      </c>
      <c r="D129" t="inlineStr">
        <is>
          <t>Operating expense</t>
        </is>
      </c>
      <c r="E129" t="inlineStr">
        <is>
          <t>Product &amp; engineering</t>
        </is>
      </c>
      <c r="F129" s="11" t="n">
        <v>701960</v>
      </c>
      <c r="G129" s="11" t="n">
        <v>758732.97</v>
      </c>
      <c r="H129" s="11" t="n">
        <v>758732.97</v>
      </c>
      <c r="I129" s="11">
        <f>IF(B129="Actual",H129,IF(D129="Revenue",H129*(1+Scenario_Assumptions!$B$4),H129*(1+Scenario_Assumptions!$B$5)*IF(OR(E129="Product &amp; engineering",E129="General &amp; administrative"),1-Scenario_Assumptions!$B$6,1)))</f>
        <v/>
      </c>
      <c r="J129" s="11">
        <f>(I129-F129)*IF(D129="Revenue",1,-1)</f>
        <v/>
      </c>
    </row>
    <row r="130">
      <c r="A130" t="inlineStr">
        <is>
          <t>2026-06-01</t>
        </is>
      </c>
      <c r="B130" t="inlineStr">
        <is>
          <t>Actual</t>
        </is>
      </c>
      <c r="C130" t="inlineStr">
        <is>
          <t>Customer Solutions</t>
        </is>
      </c>
      <c r="D130" t="inlineStr">
        <is>
          <t>Operating expense</t>
        </is>
      </c>
      <c r="E130" t="inlineStr">
        <is>
          <t>General &amp; administrative</t>
        </is>
      </c>
      <c r="F130" s="11" t="n">
        <v>301000</v>
      </c>
      <c r="G130" s="11" t="n">
        <v>309705.45</v>
      </c>
      <c r="H130" s="11" t="n">
        <v>309705.45</v>
      </c>
      <c r="I130" s="11">
        <f>IF(B130="Actual",H130,IF(D130="Revenue",H130*(1+Scenario_Assumptions!$B$4),H130*(1+Scenario_Assumptions!$B$5)*IF(OR(E130="Product &amp; engineering",E130="General &amp; administrative"),1-Scenario_Assumptions!$B$6,1)))</f>
        <v/>
      </c>
      <c r="J130" s="11">
        <f>(I130-F130)*IF(D130="Revenue",1,-1)</f>
        <v/>
      </c>
    </row>
    <row r="131">
      <c r="A131" t="inlineStr">
        <is>
          <t>2026-07-01</t>
        </is>
      </c>
      <c r="B131" t="inlineStr">
        <is>
          <t>Actual</t>
        </is>
      </c>
      <c r="C131" t="inlineStr">
        <is>
          <t>Enterprise</t>
        </is>
      </c>
      <c r="D131" t="inlineStr">
        <is>
          <t>Revenue</t>
        </is>
      </c>
      <c r="E131" t="inlineStr">
        <is>
          <t>Subscription revenue</t>
        </is>
      </c>
      <c r="F131" s="11" t="n">
        <v>5280000</v>
      </c>
      <c r="G131" s="11" t="n">
        <v>5341155.98</v>
      </c>
      <c r="H131" s="11" t="n">
        <v>5341155.98</v>
      </c>
      <c r="I131" s="11">
        <f>IF(B131="Actual",H131,IF(D131="Revenue",H131*(1+Scenario_Assumptions!$B$4),H131*(1+Scenario_Assumptions!$B$5)*IF(OR(E131="Product &amp; engineering",E131="General &amp; administrative"),1-Scenario_Assumptions!$B$6,1)))</f>
        <v/>
      </c>
      <c r="J131" s="11">
        <f>(I131-F131)*IF(D131="Revenue",1,-1)</f>
        <v/>
      </c>
    </row>
    <row r="132">
      <c r="A132" t="inlineStr">
        <is>
          <t>2026-07-01</t>
        </is>
      </c>
      <c r="B132" t="inlineStr">
        <is>
          <t>Actual</t>
        </is>
      </c>
      <c r="C132" t="inlineStr">
        <is>
          <t>Enterprise</t>
        </is>
      </c>
      <c r="D132" t="inlineStr">
        <is>
          <t>Revenue</t>
        </is>
      </c>
      <c r="E132" t="inlineStr">
        <is>
          <t>Professional services revenue</t>
        </is>
      </c>
      <c r="F132" s="11" t="n">
        <v>1188000</v>
      </c>
      <c r="G132" s="11" t="n">
        <v>1164573.74</v>
      </c>
      <c r="H132" s="11" t="n">
        <v>1164573.74</v>
      </c>
      <c r="I132" s="11">
        <f>IF(B132="Actual",H132,IF(D132="Revenue",H132*(1+Scenario_Assumptions!$B$4),H132*(1+Scenario_Assumptions!$B$5)*IF(OR(E132="Product &amp; engineering",E132="General &amp; administrative"),1-Scenario_Assumptions!$B$6,1)))</f>
        <v/>
      </c>
      <c r="J132" s="11">
        <f>(I132-F132)*IF(D132="Revenue",1,-1)</f>
        <v/>
      </c>
    </row>
    <row r="133">
      <c r="A133" t="inlineStr">
        <is>
          <t>2026-07-01</t>
        </is>
      </c>
      <c r="B133" t="inlineStr">
        <is>
          <t>Actual</t>
        </is>
      </c>
      <c r="C133" t="inlineStr">
        <is>
          <t>Enterprise</t>
        </is>
      </c>
      <c r="D133" t="inlineStr">
        <is>
          <t>COGS</t>
        </is>
      </c>
      <c r="E133" t="inlineStr">
        <is>
          <t>Cloud hosting</t>
        </is>
      </c>
      <c r="F133" s="11" t="n">
        <v>858330</v>
      </c>
      <c r="G133" s="11" t="n">
        <v>891810.2</v>
      </c>
      <c r="H133" s="11" t="n">
        <v>891810.2</v>
      </c>
      <c r="I133" s="11">
        <f>IF(B133="Actual",H133,IF(D133="Revenue",H133*(1+Scenario_Assumptions!$B$4),H133*(1+Scenario_Assumptions!$B$5)*IF(OR(E133="Product &amp; engineering",E133="General &amp; administrative"),1-Scenario_Assumptions!$B$6,1)))</f>
        <v/>
      </c>
      <c r="J133" s="11">
        <f>(I133-F133)*IF(D133="Revenue",1,-1)</f>
        <v/>
      </c>
    </row>
    <row r="134">
      <c r="A134" t="inlineStr">
        <is>
          <t>2026-07-01</t>
        </is>
      </c>
      <c r="B134" t="inlineStr">
        <is>
          <t>Actual</t>
        </is>
      </c>
      <c r="C134" t="inlineStr">
        <is>
          <t>Enterprise</t>
        </is>
      </c>
      <c r="D134" t="inlineStr">
        <is>
          <t>COGS</t>
        </is>
      </c>
      <c r="E134" t="inlineStr">
        <is>
          <t>Customer support delivery</t>
        </is>
      </c>
      <c r="F134" s="11" t="n">
        <v>412335</v>
      </c>
      <c r="G134" s="11" t="n">
        <v>413091.88</v>
      </c>
      <c r="H134" s="11" t="n">
        <v>413091.88</v>
      </c>
      <c r="I134" s="11">
        <f>IF(B134="Actual",H134,IF(D134="Revenue",H134*(1+Scenario_Assumptions!$B$4),H134*(1+Scenario_Assumptions!$B$5)*IF(OR(E134="Product &amp; engineering",E134="General &amp; administrative"),1-Scenario_Assumptions!$B$6,1)))</f>
        <v/>
      </c>
      <c r="J134" s="11">
        <f>(I134-F134)*IF(D134="Revenue",1,-1)</f>
        <v/>
      </c>
    </row>
    <row r="135">
      <c r="A135" t="inlineStr">
        <is>
          <t>2026-07-01</t>
        </is>
      </c>
      <c r="B135" t="inlineStr">
        <is>
          <t>Actual</t>
        </is>
      </c>
      <c r="C135" t="inlineStr">
        <is>
          <t>Enterprise</t>
        </is>
      </c>
      <c r="D135" t="inlineStr">
        <is>
          <t>Operating expense</t>
        </is>
      </c>
      <c r="E135" t="inlineStr">
        <is>
          <t>Sales &amp; marketing</t>
        </is>
      </c>
      <c r="F135" s="11" t="n">
        <v>1312740</v>
      </c>
      <c r="G135" s="11" t="n">
        <v>1398402.53</v>
      </c>
      <c r="H135" s="11" t="n">
        <v>1398402.53</v>
      </c>
      <c r="I135" s="11">
        <f>IF(B135="Actual",H135,IF(D135="Revenue",H135*(1+Scenario_Assumptions!$B$4),H135*(1+Scenario_Assumptions!$B$5)*IF(OR(E135="Product &amp; engineering",E135="General &amp; administrative"),1-Scenario_Assumptions!$B$6,1)))</f>
        <v/>
      </c>
      <c r="J135" s="11">
        <f>(I135-F135)*IF(D135="Revenue",1,-1)</f>
        <v/>
      </c>
    </row>
    <row r="136">
      <c r="A136" t="inlineStr">
        <is>
          <t>2026-07-01</t>
        </is>
      </c>
      <c r="B136" t="inlineStr">
        <is>
          <t>Actual</t>
        </is>
      </c>
      <c r="C136" t="inlineStr">
        <is>
          <t>Enterprise</t>
        </is>
      </c>
      <c r="D136" t="inlineStr">
        <is>
          <t>Operating expense</t>
        </is>
      </c>
      <c r="E136" t="inlineStr">
        <is>
          <t>Product &amp; engineering</t>
        </is>
      </c>
      <c r="F136" s="11" t="n">
        <v>1710937.8</v>
      </c>
      <c r="G136" s="11" t="n">
        <v>1711935.01</v>
      </c>
      <c r="H136" s="11" t="n">
        <v>1711935.01</v>
      </c>
      <c r="I136" s="11">
        <f>IF(B136="Actual",H136,IF(D136="Revenue",H136*(1+Scenario_Assumptions!$B$4),H136*(1+Scenario_Assumptions!$B$5)*IF(OR(E136="Product &amp; engineering",E136="General &amp; administrative"),1-Scenario_Assumptions!$B$6,1)))</f>
        <v/>
      </c>
      <c r="J136" s="11">
        <f>(I136-F136)*IF(D136="Revenue",1,-1)</f>
        <v/>
      </c>
    </row>
    <row r="137">
      <c r="A137" t="inlineStr">
        <is>
          <t>2026-07-01</t>
        </is>
      </c>
      <c r="B137" t="inlineStr">
        <is>
          <t>Actual</t>
        </is>
      </c>
      <c r="C137" t="inlineStr">
        <is>
          <t>Enterprise</t>
        </is>
      </c>
      <c r="D137" t="inlineStr">
        <is>
          <t>Operating expense</t>
        </is>
      </c>
      <c r="E137" t="inlineStr">
        <is>
          <t>General &amp; administrative</t>
        </is>
      </c>
      <c r="F137" s="11" t="n">
        <v>723690</v>
      </c>
      <c r="G137" s="11" t="n">
        <v>731562.86</v>
      </c>
      <c r="H137" s="11" t="n">
        <v>731562.86</v>
      </c>
      <c r="I137" s="11">
        <f>IF(B137="Actual",H137,IF(D137="Revenue",H137*(1+Scenario_Assumptions!$B$4),H137*(1+Scenario_Assumptions!$B$5)*IF(OR(E137="Product &amp; engineering",E137="General &amp; administrative"),1-Scenario_Assumptions!$B$6,1)))</f>
        <v/>
      </c>
      <c r="J137" s="11">
        <f>(I137-F137)*IF(D137="Revenue",1,-1)</f>
        <v/>
      </c>
    </row>
    <row r="138">
      <c r="A138" t="inlineStr">
        <is>
          <t>2026-07-01</t>
        </is>
      </c>
      <c r="B138" t="inlineStr">
        <is>
          <t>Actual</t>
        </is>
      </c>
      <c r="C138" t="inlineStr">
        <is>
          <t>SMB</t>
        </is>
      </c>
      <c r="D138" t="inlineStr">
        <is>
          <t>Revenue</t>
        </is>
      </c>
      <c r="E138" t="inlineStr">
        <is>
          <t>Subscription revenue</t>
        </is>
      </c>
      <c r="F138" s="11" t="n">
        <v>3200000</v>
      </c>
      <c r="G138" s="11" t="n">
        <v>3102222.18</v>
      </c>
      <c r="H138" s="11" t="n">
        <v>3102222.18</v>
      </c>
      <c r="I138" s="11">
        <f>IF(B138="Actual",H138,IF(D138="Revenue",H138*(1+Scenario_Assumptions!$B$4),H138*(1+Scenario_Assumptions!$B$5)*IF(OR(E138="Product &amp; engineering",E138="General &amp; administrative"),1-Scenario_Assumptions!$B$6,1)))</f>
        <v/>
      </c>
      <c r="J138" s="11">
        <f>(I138-F138)*IF(D138="Revenue",1,-1)</f>
        <v/>
      </c>
    </row>
    <row r="139">
      <c r="A139" t="inlineStr">
        <is>
          <t>2026-07-01</t>
        </is>
      </c>
      <c r="B139" t="inlineStr">
        <is>
          <t>Actual</t>
        </is>
      </c>
      <c r="C139" t="inlineStr">
        <is>
          <t>SMB</t>
        </is>
      </c>
      <c r="D139" t="inlineStr">
        <is>
          <t>Revenue</t>
        </is>
      </c>
      <c r="E139" t="inlineStr">
        <is>
          <t>Professional services revenue</t>
        </is>
      </c>
      <c r="F139" s="11" t="n">
        <v>720000</v>
      </c>
      <c r="G139" s="11" t="n">
        <v>700725.49</v>
      </c>
      <c r="H139" s="11" t="n">
        <v>700725.49</v>
      </c>
      <c r="I139" s="11">
        <f>IF(B139="Actual",H139,IF(D139="Revenue",H139*(1+Scenario_Assumptions!$B$4),H139*(1+Scenario_Assumptions!$B$5)*IF(OR(E139="Product &amp; engineering",E139="General &amp; administrative"),1-Scenario_Assumptions!$B$6,1)))</f>
        <v/>
      </c>
      <c r="J139" s="11">
        <f>(I139-F139)*IF(D139="Revenue",1,-1)</f>
        <v/>
      </c>
    </row>
    <row r="140">
      <c r="A140" t="inlineStr">
        <is>
          <t>2026-07-01</t>
        </is>
      </c>
      <c r="B140" t="inlineStr">
        <is>
          <t>Actual</t>
        </is>
      </c>
      <c r="C140" t="inlineStr">
        <is>
          <t>SMB</t>
        </is>
      </c>
      <c r="D140" t="inlineStr">
        <is>
          <t>COGS</t>
        </is>
      </c>
      <c r="E140" t="inlineStr">
        <is>
          <t>Cloud hosting</t>
        </is>
      </c>
      <c r="F140" s="11" t="n">
        <v>520200</v>
      </c>
      <c r="G140" s="11" t="n">
        <v>535603.39</v>
      </c>
      <c r="H140" s="11" t="n">
        <v>535603.39</v>
      </c>
      <c r="I140" s="11">
        <f>IF(B140="Actual",H140,IF(D140="Revenue",H140*(1+Scenario_Assumptions!$B$4),H140*(1+Scenario_Assumptions!$B$5)*IF(OR(E140="Product &amp; engineering",E140="General &amp; administrative"),1-Scenario_Assumptions!$B$6,1)))</f>
        <v/>
      </c>
      <c r="J140" s="11">
        <f>(I140-F140)*IF(D140="Revenue",1,-1)</f>
        <v/>
      </c>
    </row>
    <row r="141">
      <c r="A141" t="inlineStr">
        <is>
          <t>2026-07-01</t>
        </is>
      </c>
      <c r="B141" t="inlineStr">
        <is>
          <t>Actual</t>
        </is>
      </c>
      <c r="C141" t="inlineStr">
        <is>
          <t>SMB</t>
        </is>
      </c>
      <c r="D141" t="inlineStr">
        <is>
          <t>COGS</t>
        </is>
      </c>
      <c r="E141" t="inlineStr">
        <is>
          <t>Customer support delivery</t>
        </is>
      </c>
      <c r="F141" s="11" t="n">
        <v>249900</v>
      </c>
      <c r="G141" s="11" t="n">
        <v>258106.18</v>
      </c>
      <c r="H141" s="11" t="n">
        <v>258106.18</v>
      </c>
      <c r="I141" s="11">
        <f>IF(B141="Actual",H141,IF(D141="Revenue",H141*(1+Scenario_Assumptions!$B$4),H141*(1+Scenario_Assumptions!$B$5)*IF(OR(E141="Product &amp; engineering",E141="General &amp; administrative"),1-Scenario_Assumptions!$B$6,1)))</f>
        <v/>
      </c>
      <c r="J141" s="11">
        <f>(I141-F141)*IF(D141="Revenue",1,-1)</f>
        <v/>
      </c>
    </row>
    <row r="142">
      <c r="A142" t="inlineStr">
        <is>
          <t>2026-07-01</t>
        </is>
      </c>
      <c r="B142" t="inlineStr">
        <is>
          <t>Actual</t>
        </is>
      </c>
      <c r="C142" t="inlineStr">
        <is>
          <t>SMB</t>
        </is>
      </c>
      <c r="D142" t="inlineStr">
        <is>
          <t>Operating expense</t>
        </is>
      </c>
      <c r="E142" t="inlineStr">
        <is>
          <t>Sales &amp; marketing</t>
        </is>
      </c>
      <c r="F142" s="11" t="n">
        <v>795600</v>
      </c>
      <c r="G142" s="11" t="n">
        <v>871940.34</v>
      </c>
      <c r="H142" s="11" t="n">
        <v>871940.34</v>
      </c>
      <c r="I142" s="11">
        <f>IF(B142="Actual",H142,IF(D142="Revenue",H142*(1+Scenario_Assumptions!$B$4),H142*(1+Scenario_Assumptions!$B$5)*IF(OR(E142="Product &amp; engineering",E142="General &amp; administrative"),1-Scenario_Assumptions!$B$6,1)))</f>
        <v/>
      </c>
      <c r="J142" s="11">
        <f>(I142-F142)*IF(D142="Revenue",1,-1)</f>
        <v/>
      </c>
    </row>
    <row r="143">
      <c r="A143" t="inlineStr">
        <is>
          <t>2026-07-01</t>
        </is>
      </c>
      <c r="B143" t="inlineStr">
        <is>
          <t>Actual</t>
        </is>
      </c>
      <c r="C143" t="inlineStr">
        <is>
          <t>SMB</t>
        </is>
      </c>
      <c r="D143" t="inlineStr">
        <is>
          <t>Operating expense</t>
        </is>
      </c>
      <c r="E143" t="inlineStr">
        <is>
          <t>Product &amp; engineering</t>
        </is>
      </c>
      <c r="F143" s="11" t="n">
        <v>1036932</v>
      </c>
      <c r="G143" s="11" t="n">
        <v>1124986.47</v>
      </c>
      <c r="H143" s="11" t="n">
        <v>1124986.47</v>
      </c>
      <c r="I143" s="11">
        <f>IF(B143="Actual",H143,IF(D143="Revenue",H143*(1+Scenario_Assumptions!$B$4),H143*(1+Scenario_Assumptions!$B$5)*IF(OR(E143="Product &amp; engineering",E143="General &amp; administrative"),1-Scenario_Assumptions!$B$6,1)))</f>
        <v/>
      </c>
      <c r="J143" s="11">
        <f>(I143-F143)*IF(D143="Revenue",1,-1)</f>
        <v/>
      </c>
    </row>
    <row r="144">
      <c r="A144" t="inlineStr">
        <is>
          <t>2026-07-01</t>
        </is>
      </c>
      <c r="B144" t="inlineStr">
        <is>
          <t>Actual</t>
        </is>
      </c>
      <c r="C144" t="inlineStr">
        <is>
          <t>SMB</t>
        </is>
      </c>
      <c r="D144" t="inlineStr">
        <is>
          <t>Operating expense</t>
        </is>
      </c>
      <c r="E144" t="inlineStr">
        <is>
          <t>General &amp; administrative</t>
        </is>
      </c>
      <c r="F144" s="11" t="n">
        <v>438600</v>
      </c>
      <c r="G144" s="11" t="n">
        <v>468357.5</v>
      </c>
      <c r="H144" s="11" t="n">
        <v>468357.5</v>
      </c>
      <c r="I144" s="11">
        <f>IF(B144="Actual",H144,IF(D144="Revenue",H144*(1+Scenario_Assumptions!$B$4),H144*(1+Scenario_Assumptions!$B$5)*IF(OR(E144="Product &amp; engineering",E144="General &amp; administrative"),1-Scenario_Assumptions!$B$6,1)))</f>
        <v/>
      </c>
      <c r="J144" s="11">
        <f>(I144-F144)*IF(D144="Revenue",1,-1)</f>
        <v/>
      </c>
    </row>
    <row r="145">
      <c r="A145" t="inlineStr">
        <is>
          <t>2026-07-01</t>
        </is>
      </c>
      <c r="B145" t="inlineStr">
        <is>
          <t>Actual</t>
        </is>
      </c>
      <c r="C145" t="inlineStr">
        <is>
          <t>Customer Solutions</t>
        </is>
      </c>
      <c r="D145" t="inlineStr">
        <is>
          <t>Revenue</t>
        </is>
      </c>
      <c r="E145" t="inlineStr">
        <is>
          <t>Subscription revenue</t>
        </is>
      </c>
      <c r="F145" s="11" t="n">
        <v>2240000</v>
      </c>
      <c r="G145" s="11" t="n">
        <v>2207206.93</v>
      </c>
      <c r="H145" s="11" t="n">
        <v>2207206.93</v>
      </c>
      <c r="I145" s="11">
        <f>IF(B145="Actual",H145,IF(D145="Revenue",H145*(1+Scenario_Assumptions!$B$4),H145*(1+Scenario_Assumptions!$B$5)*IF(OR(E145="Product &amp; engineering",E145="General &amp; administrative"),1-Scenario_Assumptions!$B$6,1)))</f>
        <v/>
      </c>
      <c r="J145" s="11">
        <f>(I145-F145)*IF(D145="Revenue",1,-1)</f>
        <v/>
      </c>
    </row>
    <row r="146">
      <c r="A146" t="inlineStr">
        <is>
          <t>2026-07-01</t>
        </is>
      </c>
      <c r="B146" t="inlineStr">
        <is>
          <t>Actual</t>
        </is>
      </c>
      <c r="C146" t="inlineStr">
        <is>
          <t>Customer Solutions</t>
        </is>
      </c>
      <c r="D146" t="inlineStr">
        <is>
          <t>Revenue</t>
        </is>
      </c>
      <c r="E146" t="inlineStr">
        <is>
          <t>Professional services revenue</t>
        </is>
      </c>
      <c r="F146" s="11" t="n">
        <v>504000</v>
      </c>
      <c r="G146" s="11" t="n">
        <v>496571.82</v>
      </c>
      <c r="H146" s="11" t="n">
        <v>496571.82</v>
      </c>
      <c r="I146" s="11">
        <f>IF(B146="Actual",H146,IF(D146="Revenue",H146*(1+Scenario_Assumptions!$B$4),H146*(1+Scenario_Assumptions!$B$5)*IF(OR(E146="Product &amp; engineering",E146="General &amp; administrative"),1-Scenario_Assumptions!$B$6,1)))</f>
        <v/>
      </c>
      <c r="J146" s="11">
        <f>(I146-F146)*IF(D146="Revenue",1,-1)</f>
        <v/>
      </c>
    </row>
    <row r="147">
      <c r="A147" t="inlineStr">
        <is>
          <t>2026-07-01</t>
        </is>
      </c>
      <c r="B147" t="inlineStr">
        <is>
          <t>Actual</t>
        </is>
      </c>
      <c r="C147" t="inlineStr">
        <is>
          <t>Customer Solutions</t>
        </is>
      </c>
      <c r="D147" t="inlineStr">
        <is>
          <t>COGS</t>
        </is>
      </c>
      <c r="E147" t="inlineStr">
        <is>
          <t>Cloud hosting</t>
        </is>
      </c>
      <c r="F147" s="11" t="n">
        <v>364140</v>
      </c>
      <c r="G147" s="11" t="n">
        <v>364758.62</v>
      </c>
      <c r="H147" s="11" t="n">
        <v>364758.62</v>
      </c>
      <c r="I147" s="11">
        <f>IF(B147="Actual",H147,IF(D147="Revenue",H147*(1+Scenario_Assumptions!$B$4),H147*(1+Scenario_Assumptions!$B$5)*IF(OR(E147="Product &amp; engineering",E147="General &amp; administrative"),1-Scenario_Assumptions!$B$6,1)))</f>
        <v/>
      </c>
      <c r="J147" s="11">
        <f>(I147-F147)*IF(D147="Revenue",1,-1)</f>
        <v/>
      </c>
    </row>
    <row r="148">
      <c r="A148" t="inlineStr">
        <is>
          <t>2026-07-01</t>
        </is>
      </c>
      <c r="B148" t="inlineStr">
        <is>
          <t>Actual</t>
        </is>
      </c>
      <c r="C148" t="inlineStr">
        <is>
          <t>Customer Solutions</t>
        </is>
      </c>
      <c r="D148" t="inlineStr">
        <is>
          <t>COGS</t>
        </is>
      </c>
      <c r="E148" t="inlineStr">
        <is>
          <t>Customer support delivery</t>
        </is>
      </c>
      <c r="F148" s="11" t="n">
        <v>174930</v>
      </c>
      <c r="G148" s="11" t="n">
        <v>180474.02</v>
      </c>
      <c r="H148" s="11" t="n">
        <v>180474.02</v>
      </c>
      <c r="I148" s="11">
        <f>IF(B148="Actual",H148,IF(D148="Revenue",H148*(1+Scenario_Assumptions!$B$4),H148*(1+Scenario_Assumptions!$B$5)*IF(OR(E148="Product &amp; engineering",E148="General &amp; administrative"),1-Scenario_Assumptions!$B$6,1)))</f>
        <v/>
      </c>
      <c r="J148" s="11">
        <f>(I148-F148)*IF(D148="Revenue",1,-1)</f>
        <v/>
      </c>
    </row>
    <row r="149">
      <c r="A149" t="inlineStr">
        <is>
          <t>2026-07-01</t>
        </is>
      </c>
      <c r="B149" t="inlineStr">
        <is>
          <t>Actual</t>
        </is>
      </c>
      <c r="C149" t="inlineStr">
        <is>
          <t>Customer Solutions</t>
        </is>
      </c>
      <c r="D149" t="inlineStr">
        <is>
          <t>Operating expense</t>
        </is>
      </c>
      <c r="E149" t="inlineStr">
        <is>
          <t>Sales &amp; marketing</t>
        </is>
      </c>
      <c r="F149" s="11" t="n">
        <v>556920</v>
      </c>
      <c r="G149" s="11" t="n">
        <v>587370.42</v>
      </c>
      <c r="H149" s="11" t="n">
        <v>587370.42</v>
      </c>
      <c r="I149" s="11">
        <f>IF(B149="Actual",H149,IF(D149="Revenue",H149*(1+Scenario_Assumptions!$B$4),H149*(1+Scenario_Assumptions!$B$5)*IF(OR(E149="Product &amp; engineering",E149="General &amp; administrative"),1-Scenario_Assumptions!$B$6,1)))</f>
        <v/>
      </c>
      <c r="J149" s="11">
        <f>(I149-F149)*IF(D149="Revenue",1,-1)</f>
        <v/>
      </c>
    </row>
    <row r="150">
      <c r="A150" t="inlineStr">
        <is>
          <t>2026-07-01</t>
        </is>
      </c>
      <c r="B150" t="inlineStr">
        <is>
          <t>Actual</t>
        </is>
      </c>
      <c r="C150" t="inlineStr">
        <is>
          <t>Customer Solutions</t>
        </is>
      </c>
      <c r="D150" t="inlineStr">
        <is>
          <t>Operating expense</t>
        </is>
      </c>
      <c r="E150" t="inlineStr">
        <is>
          <t>Product &amp; engineering</t>
        </is>
      </c>
      <c r="F150" s="11" t="n">
        <v>725852.4</v>
      </c>
      <c r="G150" s="11" t="n">
        <v>743720.03</v>
      </c>
      <c r="H150" s="11" t="n">
        <v>743720.03</v>
      </c>
      <c r="I150" s="11">
        <f>IF(B150="Actual",H150,IF(D150="Revenue",H150*(1+Scenario_Assumptions!$B$4),H150*(1+Scenario_Assumptions!$B$5)*IF(OR(E150="Product &amp; engineering",E150="General &amp; administrative"),1-Scenario_Assumptions!$B$6,1)))</f>
        <v/>
      </c>
      <c r="J150" s="11">
        <f>(I150-F150)*IF(D150="Revenue",1,-1)</f>
        <v/>
      </c>
    </row>
    <row r="151">
      <c r="A151" t="inlineStr">
        <is>
          <t>2026-07-01</t>
        </is>
      </c>
      <c r="B151" t="inlineStr">
        <is>
          <t>Actual</t>
        </is>
      </c>
      <c r="C151" t="inlineStr">
        <is>
          <t>Customer Solutions</t>
        </is>
      </c>
      <c r="D151" t="inlineStr">
        <is>
          <t>Operating expense</t>
        </is>
      </c>
      <c r="E151" t="inlineStr">
        <is>
          <t>General &amp; administrative</t>
        </is>
      </c>
      <c r="F151" s="11" t="n">
        <v>307020</v>
      </c>
      <c r="G151" s="11" t="n">
        <v>300786.75</v>
      </c>
      <c r="H151" s="11" t="n">
        <v>300786.75</v>
      </c>
      <c r="I151" s="11">
        <f>IF(B151="Actual",H151,IF(D151="Revenue",H151*(1+Scenario_Assumptions!$B$4),H151*(1+Scenario_Assumptions!$B$5)*IF(OR(E151="Product &amp; engineering",E151="General &amp; administrative"),1-Scenario_Assumptions!$B$6,1)))</f>
        <v/>
      </c>
      <c r="J151" s="11">
        <f>(I151-F151)*IF(D151="Revenue",1,-1)</f>
        <v/>
      </c>
    </row>
    <row r="152">
      <c r="A152" t="inlineStr">
        <is>
          <t>2026-08-01</t>
        </is>
      </c>
      <c r="B152" t="inlineStr">
        <is>
          <t>Forecast</t>
        </is>
      </c>
      <c r="C152" t="inlineStr">
        <is>
          <t>Enterprise</t>
        </is>
      </c>
      <c r="D152" t="inlineStr">
        <is>
          <t>Revenue</t>
        </is>
      </c>
      <c r="E152" t="inlineStr">
        <is>
          <t>Subscription revenue</t>
        </is>
      </c>
      <c r="F152" s="11" t="n">
        <v>5187600</v>
      </c>
      <c r="G152" s="11" t="n"/>
      <c r="H152" s="11" t="n">
        <v>5096817</v>
      </c>
      <c r="I152" s="11">
        <f>IF(B152="Actual",H152,IF(D152="Revenue",H152*(1+Scenario_Assumptions!$B$4),H152*(1+Scenario_Assumptions!$B$5)*IF(OR(E152="Product &amp; engineering",E152="General &amp; administrative"),1-Scenario_Assumptions!$B$6,1)))</f>
        <v/>
      </c>
      <c r="J152" s="11">
        <f>(I152-F152)*IF(D152="Revenue",1,-1)</f>
        <v/>
      </c>
    </row>
    <row r="153">
      <c r="A153" t="inlineStr">
        <is>
          <t>2026-08-01</t>
        </is>
      </c>
      <c r="B153" t="inlineStr">
        <is>
          <t>Forecast</t>
        </is>
      </c>
      <c r="C153" t="inlineStr">
        <is>
          <t>Enterprise</t>
        </is>
      </c>
      <c r="D153" t="inlineStr">
        <is>
          <t>Revenue</t>
        </is>
      </c>
      <c r="E153" t="inlineStr">
        <is>
          <t>Professional services revenue</t>
        </is>
      </c>
      <c r="F153" s="11" t="n">
        <v>1167210</v>
      </c>
      <c r="G153" s="11" t="n"/>
      <c r="H153" s="11" t="n">
        <v>1175380.47</v>
      </c>
      <c r="I153" s="11">
        <f>IF(B153="Actual",H153,IF(D153="Revenue",H153*(1+Scenario_Assumptions!$B$4),H153*(1+Scenario_Assumptions!$B$5)*IF(OR(E153="Product &amp; engineering",E153="General &amp; administrative"),1-Scenario_Assumptions!$B$6,1)))</f>
        <v/>
      </c>
      <c r="J153" s="11">
        <f>(I153-F153)*IF(D153="Revenue",1,-1)</f>
        <v/>
      </c>
    </row>
    <row r="154">
      <c r="A154" t="inlineStr">
        <is>
          <t>2026-08-01</t>
        </is>
      </c>
      <c r="B154" t="inlineStr">
        <is>
          <t>Forecast</t>
        </is>
      </c>
      <c r="C154" t="inlineStr">
        <is>
          <t>Enterprise</t>
        </is>
      </c>
      <c r="D154" t="inlineStr">
        <is>
          <t>COGS</t>
        </is>
      </c>
      <c r="E154" t="inlineStr">
        <is>
          <t>Cloud hosting</t>
        </is>
      </c>
      <c r="F154" s="11" t="n">
        <v>841500</v>
      </c>
      <c r="G154" s="11" t="n"/>
      <c r="H154" s="11" t="n">
        <v>873897.75</v>
      </c>
      <c r="I154" s="11">
        <f>IF(B154="Actual",H154,IF(D154="Revenue",H154*(1+Scenario_Assumptions!$B$4),H154*(1+Scenario_Assumptions!$B$5)*IF(OR(E154="Product &amp; engineering",E154="General &amp; administrative"),1-Scenario_Assumptions!$B$6,1)))</f>
        <v/>
      </c>
      <c r="J154" s="11">
        <f>(I154-F154)*IF(D154="Revenue",1,-1)</f>
        <v/>
      </c>
    </row>
    <row r="155">
      <c r="A155" t="inlineStr">
        <is>
          <t>2026-08-01</t>
        </is>
      </c>
      <c r="B155" t="inlineStr">
        <is>
          <t>Forecast</t>
        </is>
      </c>
      <c r="C155" t="inlineStr">
        <is>
          <t>Enterprise</t>
        </is>
      </c>
      <c r="D155" t="inlineStr">
        <is>
          <t>COGS</t>
        </is>
      </c>
      <c r="E155" t="inlineStr">
        <is>
          <t>Customer support delivery</t>
        </is>
      </c>
      <c r="F155" s="11" t="n">
        <v>404250</v>
      </c>
      <c r="G155" s="11" t="n"/>
      <c r="H155" s="11" t="n">
        <v>411324.38</v>
      </c>
      <c r="I155" s="11">
        <f>IF(B155="Actual",H155,IF(D155="Revenue",H155*(1+Scenario_Assumptions!$B$4),H155*(1+Scenario_Assumptions!$B$5)*IF(OR(E155="Product &amp; engineering",E155="General &amp; administrative"),1-Scenario_Assumptions!$B$6,1)))</f>
        <v/>
      </c>
      <c r="J155" s="11">
        <f>(I155-F155)*IF(D155="Revenue",1,-1)</f>
        <v/>
      </c>
    </row>
    <row r="156">
      <c r="A156" t="inlineStr">
        <is>
          <t>2026-08-01</t>
        </is>
      </c>
      <c r="B156" t="inlineStr">
        <is>
          <t>Forecast</t>
        </is>
      </c>
      <c r="C156" t="inlineStr">
        <is>
          <t>Enterprise</t>
        </is>
      </c>
      <c r="D156" t="inlineStr">
        <is>
          <t>Operating expense</t>
        </is>
      </c>
      <c r="E156" t="inlineStr">
        <is>
          <t>Sales &amp; marketing</t>
        </is>
      </c>
      <c r="F156" s="11" t="n">
        <v>1287000</v>
      </c>
      <c r="G156" s="11" t="n"/>
      <c r="H156" s="11" t="n">
        <v>1354567.5</v>
      </c>
      <c r="I156" s="11">
        <f>IF(B156="Actual",H156,IF(D156="Revenue",H156*(1+Scenario_Assumptions!$B$4),H156*(1+Scenario_Assumptions!$B$5)*IF(OR(E156="Product &amp; engineering",E156="General &amp; administrative"),1-Scenario_Assumptions!$B$6,1)))</f>
        <v/>
      </c>
      <c r="J156" s="11">
        <f>(I156-F156)*IF(D156="Revenue",1,-1)</f>
        <v/>
      </c>
    </row>
    <row r="157">
      <c r="A157" t="inlineStr">
        <is>
          <t>2026-08-01</t>
        </is>
      </c>
      <c r="B157" t="inlineStr">
        <is>
          <t>Forecast</t>
        </is>
      </c>
      <c r="C157" t="inlineStr">
        <is>
          <t>Enterprise</t>
        </is>
      </c>
      <c r="D157" t="inlineStr">
        <is>
          <t>Operating expense</t>
        </is>
      </c>
      <c r="E157" t="inlineStr">
        <is>
          <t>Product &amp; engineering</t>
        </is>
      </c>
      <c r="F157" s="11" t="n">
        <v>1700160</v>
      </c>
      <c r="G157" s="11" t="n"/>
      <c r="H157" s="11" t="n">
        <v>1741813.92</v>
      </c>
      <c r="I157" s="11">
        <f>IF(B157="Actual",H157,IF(D157="Revenue",H157*(1+Scenario_Assumptions!$B$4),H157*(1+Scenario_Assumptions!$B$5)*IF(OR(E157="Product &amp; engineering",E157="General &amp; administrative"),1-Scenario_Assumptions!$B$6,1)))</f>
        <v/>
      </c>
      <c r="J157" s="11">
        <f>(I157-F157)*IF(D157="Revenue",1,-1)</f>
        <v/>
      </c>
    </row>
    <row r="158">
      <c r="A158" t="inlineStr">
        <is>
          <t>2026-08-01</t>
        </is>
      </c>
      <c r="B158" t="inlineStr">
        <is>
          <t>Forecast</t>
        </is>
      </c>
      <c r="C158" t="inlineStr">
        <is>
          <t>Enterprise</t>
        </is>
      </c>
      <c r="D158" t="inlineStr">
        <is>
          <t>Operating expense</t>
        </is>
      </c>
      <c r="E158" t="inlineStr">
        <is>
          <t>General &amp; administrative</t>
        </is>
      </c>
      <c r="F158" s="11" t="n">
        <v>709500</v>
      </c>
      <c r="G158" s="11" t="n"/>
      <c r="H158" s="11" t="n">
        <v>707016.75</v>
      </c>
      <c r="I158" s="11">
        <f>IF(B158="Actual",H158,IF(D158="Revenue",H158*(1+Scenario_Assumptions!$B$4),H158*(1+Scenario_Assumptions!$B$5)*IF(OR(E158="Product &amp; engineering",E158="General &amp; administrative"),1-Scenario_Assumptions!$B$6,1)))</f>
        <v/>
      </c>
      <c r="J158" s="11">
        <f>(I158-F158)*IF(D158="Revenue",1,-1)</f>
        <v/>
      </c>
    </row>
    <row r="159">
      <c r="A159" t="inlineStr">
        <is>
          <t>2026-08-01</t>
        </is>
      </c>
      <c r="B159" t="inlineStr">
        <is>
          <t>Forecast</t>
        </is>
      </c>
      <c r="C159" t="inlineStr">
        <is>
          <t>SMB</t>
        </is>
      </c>
      <c r="D159" t="inlineStr">
        <is>
          <t>Revenue</t>
        </is>
      </c>
      <c r="E159" t="inlineStr">
        <is>
          <t>Subscription revenue</t>
        </is>
      </c>
      <c r="F159" s="11" t="n">
        <v>3144000</v>
      </c>
      <c r="G159" s="11" t="n"/>
      <c r="H159" s="11" t="n">
        <v>3088980</v>
      </c>
      <c r="I159" s="11">
        <f>IF(B159="Actual",H159,IF(D159="Revenue",H159*(1+Scenario_Assumptions!$B$4),H159*(1+Scenario_Assumptions!$B$5)*IF(OR(E159="Product &amp; engineering",E159="General &amp; administrative"),1-Scenario_Assumptions!$B$6,1)))</f>
        <v/>
      </c>
      <c r="J159" s="11">
        <f>(I159-F159)*IF(D159="Revenue",1,-1)</f>
        <v/>
      </c>
    </row>
    <row r="160">
      <c r="A160" t="inlineStr">
        <is>
          <t>2026-08-01</t>
        </is>
      </c>
      <c r="B160" t="inlineStr">
        <is>
          <t>Forecast</t>
        </is>
      </c>
      <c r="C160" t="inlineStr">
        <is>
          <t>SMB</t>
        </is>
      </c>
      <c r="D160" t="inlineStr">
        <is>
          <t>Revenue</t>
        </is>
      </c>
      <c r="E160" t="inlineStr">
        <is>
          <t>Professional services revenue</t>
        </is>
      </c>
      <c r="F160" s="11" t="n">
        <v>707400</v>
      </c>
      <c r="G160" s="11" t="n"/>
      <c r="H160" s="11" t="n">
        <v>712351.8</v>
      </c>
      <c r="I160" s="11">
        <f>IF(B160="Actual",H160,IF(D160="Revenue",H160*(1+Scenario_Assumptions!$B$4),H160*(1+Scenario_Assumptions!$B$5)*IF(OR(E160="Product &amp; engineering",E160="General &amp; administrative"),1-Scenario_Assumptions!$B$6,1)))</f>
        <v/>
      </c>
      <c r="J160" s="11">
        <f>(I160-F160)*IF(D160="Revenue",1,-1)</f>
        <v/>
      </c>
    </row>
    <row r="161">
      <c r="A161" t="inlineStr">
        <is>
          <t>2026-08-01</t>
        </is>
      </c>
      <c r="B161" t="inlineStr">
        <is>
          <t>Forecast</t>
        </is>
      </c>
      <c r="C161" t="inlineStr">
        <is>
          <t>SMB</t>
        </is>
      </c>
      <c r="D161" t="inlineStr">
        <is>
          <t>COGS</t>
        </is>
      </c>
      <c r="E161" t="inlineStr">
        <is>
          <t>Cloud hosting</t>
        </is>
      </c>
      <c r="F161" s="11" t="n">
        <v>510000</v>
      </c>
      <c r="G161" s="11" t="n"/>
      <c r="H161" s="11" t="n">
        <v>529635</v>
      </c>
      <c r="I161" s="11">
        <f>IF(B161="Actual",H161,IF(D161="Revenue",H161*(1+Scenario_Assumptions!$B$4),H161*(1+Scenario_Assumptions!$B$5)*IF(OR(E161="Product &amp; engineering",E161="General &amp; administrative"),1-Scenario_Assumptions!$B$6,1)))</f>
        <v/>
      </c>
      <c r="J161" s="11">
        <f>(I161-F161)*IF(D161="Revenue",1,-1)</f>
        <v/>
      </c>
    </row>
    <row r="162">
      <c r="A162" t="inlineStr">
        <is>
          <t>2026-08-01</t>
        </is>
      </c>
      <c r="B162" t="inlineStr">
        <is>
          <t>Forecast</t>
        </is>
      </c>
      <c r="C162" t="inlineStr">
        <is>
          <t>SMB</t>
        </is>
      </c>
      <c r="D162" t="inlineStr">
        <is>
          <t>COGS</t>
        </is>
      </c>
      <c r="E162" t="inlineStr">
        <is>
          <t>Customer support delivery</t>
        </is>
      </c>
      <c r="F162" s="11" t="n">
        <v>245000</v>
      </c>
      <c r="G162" s="11" t="n"/>
      <c r="H162" s="11" t="n">
        <v>249287.5</v>
      </c>
      <c r="I162" s="11">
        <f>IF(B162="Actual",H162,IF(D162="Revenue",H162*(1+Scenario_Assumptions!$B$4),H162*(1+Scenario_Assumptions!$B$5)*IF(OR(E162="Product &amp; engineering",E162="General &amp; administrative"),1-Scenario_Assumptions!$B$6,1)))</f>
        <v/>
      </c>
      <c r="J162" s="11">
        <f>(I162-F162)*IF(D162="Revenue",1,-1)</f>
        <v/>
      </c>
    </row>
    <row r="163">
      <c r="A163" t="inlineStr">
        <is>
          <t>2026-08-01</t>
        </is>
      </c>
      <c r="B163" t="inlineStr">
        <is>
          <t>Forecast</t>
        </is>
      </c>
      <c r="C163" t="inlineStr">
        <is>
          <t>SMB</t>
        </is>
      </c>
      <c r="D163" t="inlineStr">
        <is>
          <t>Operating expense</t>
        </is>
      </c>
      <c r="E163" t="inlineStr">
        <is>
          <t>Sales &amp; marketing</t>
        </is>
      </c>
      <c r="F163" s="11" t="n">
        <v>780000</v>
      </c>
      <c r="G163" s="11" t="n"/>
      <c r="H163" s="11" t="n">
        <v>820950</v>
      </c>
      <c r="I163" s="11">
        <f>IF(B163="Actual",H163,IF(D163="Revenue",H163*(1+Scenario_Assumptions!$B$4),H163*(1+Scenario_Assumptions!$B$5)*IF(OR(E163="Product &amp; engineering",E163="General &amp; administrative"),1-Scenario_Assumptions!$B$6,1)))</f>
        <v/>
      </c>
      <c r="J163" s="11">
        <f>(I163-F163)*IF(D163="Revenue",1,-1)</f>
        <v/>
      </c>
    </row>
    <row r="164">
      <c r="A164" t="inlineStr">
        <is>
          <t>2026-08-01</t>
        </is>
      </c>
      <c r="B164" t="inlineStr">
        <is>
          <t>Forecast</t>
        </is>
      </c>
      <c r="C164" t="inlineStr">
        <is>
          <t>SMB</t>
        </is>
      </c>
      <c r="D164" t="inlineStr">
        <is>
          <t>Operating expense</t>
        </is>
      </c>
      <c r="E164" t="inlineStr">
        <is>
          <t>Product &amp; engineering</t>
        </is>
      </c>
      <c r="F164" s="11" t="n">
        <v>1030400</v>
      </c>
      <c r="G164" s="11" t="n"/>
      <c r="H164" s="11" t="n">
        <v>1055644.8</v>
      </c>
      <c r="I164" s="11">
        <f>IF(B164="Actual",H164,IF(D164="Revenue",H164*(1+Scenario_Assumptions!$B$4),H164*(1+Scenario_Assumptions!$B$5)*IF(OR(E164="Product &amp; engineering",E164="General &amp; administrative"),1-Scenario_Assumptions!$B$6,1)))</f>
        <v/>
      </c>
      <c r="J164" s="11">
        <f>(I164-F164)*IF(D164="Revenue",1,-1)</f>
        <v/>
      </c>
    </row>
    <row r="165">
      <c r="A165" t="inlineStr">
        <is>
          <t>2026-08-01</t>
        </is>
      </c>
      <c r="B165" t="inlineStr">
        <is>
          <t>Forecast</t>
        </is>
      </c>
      <c r="C165" t="inlineStr">
        <is>
          <t>SMB</t>
        </is>
      </c>
      <c r="D165" t="inlineStr">
        <is>
          <t>Operating expense</t>
        </is>
      </c>
      <c r="E165" t="inlineStr">
        <is>
          <t>General &amp; administrative</t>
        </is>
      </c>
      <c r="F165" s="11" t="n">
        <v>430000</v>
      </c>
      <c r="G165" s="11" t="n"/>
      <c r="H165" s="11" t="n">
        <v>428495</v>
      </c>
      <c r="I165" s="11">
        <f>IF(B165="Actual",H165,IF(D165="Revenue",H165*(1+Scenario_Assumptions!$B$4),H165*(1+Scenario_Assumptions!$B$5)*IF(OR(E165="Product &amp; engineering",E165="General &amp; administrative"),1-Scenario_Assumptions!$B$6,1)))</f>
        <v/>
      </c>
      <c r="J165" s="11">
        <f>(I165-F165)*IF(D165="Revenue",1,-1)</f>
        <v/>
      </c>
    </row>
    <row r="166">
      <c r="A166" t="inlineStr">
        <is>
          <t>2026-08-01</t>
        </is>
      </c>
      <c r="B166" t="inlineStr">
        <is>
          <t>Forecast</t>
        </is>
      </c>
      <c r="C166" t="inlineStr">
        <is>
          <t>Customer Solutions</t>
        </is>
      </c>
      <c r="D166" t="inlineStr">
        <is>
          <t>Revenue</t>
        </is>
      </c>
      <c r="E166" t="inlineStr">
        <is>
          <t>Subscription revenue</t>
        </is>
      </c>
      <c r="F166" s="11" t="n">
        <v>2200800</v>
      </c>
      <c r="G166" s="11" t="n"/>
      <c r="H166" s="11" t="n">
        <v>2162286</v>
      </c>
      <c r="I166" s="11">
        <f>IF(B166="Actual",H166,IF(D166="Revenue",H166*(1+Scenario_Assumptions!$B$4),H166*(1+Scenario_Assumptions!$B$5)*IF(OR(E166="Product &amp; engineering",E166="General &amp; administrative"),1-Scenario_Assumptions!$B$6,1)))</f>
        <v/>
      </c>
      <c r="J166" s="11">
        <f>(I166-F166)*IF(D166="Revenue",1,-1)</f>
        <v/>
      </c>
    </row>
    <row r="167">
      <c r="A167" t="inlineStr">
        <is>
          <t>2026-08-01</t>
        </is>
      </c>
      <c r="B167" t="inlineStr">
        <is>
          <t>Forecast</t>
        </is>
      </c>
      <c r="C167" t="inlineStr">
        <is>
          <t>Customer Solutions</t>
        </is>
      </c>
      <c r="D167" t="inlineStr">
        <is>
          <t>Revenue</t>
        </is>
      </c>
      <c r="E167" t="inlineStr">
        <is>
          <t>Professional services revenue</t>
        </is>
      </c>
      <c r="F167" s="11" t="n">
        <v>495180</v>
      </c>
      <c r="G167" s="11" t="n"/>
      <c r="H167" s="11" t="n">
        <v>498646.26</v>
      </c>
      <c r="I167" s="11">
        <f>IF(B167="Actual",H167,IF(D167="Revenue",H167*(1+Scenario_Assumptions!$B$4),H167*(1+Scenario_Assumptions!$B$5)*IF(OR(E167="Product &amp; engineering",E167="General &amp; administrative"),1-Scenario_Assumptions!$B$6,1)))</f>
        <v/>
      </c>
      <c r="J167" s="11">
        <f>(I167-F167)*IF(D167="Revenue",1,-1)</f>
        <v/>
      </c>
    </row>
    <row r="168">
      <c r="A168" t="inlineStr">
        <is>
          <t>2026-08-01</t>
        </is>
      </c>
      <c r="B168" t="inlineStr">
        <is>
          <t>Forecast</t>
        </is>
      </c>
      <c r="C168" t="inlineStr">
        <is>
          <t>Customer Solutions</t>
        </is>
      </c>
      <c r="D168" t="inlineStr">
        <is>
          <t>COGS</t>
        </is>
      </c>
      <c r="E168" t="inlineStr">
        <is>
          <t>Cloud hosting</t>
        </is>
      </c>
      <c r="F168" s="11" t="n">
        <v>357000</v>
      </c>
      <c r="G168" s="11" t="n"/>
      <c r="H168" s="11" t="n">
        <v>370744.5</v>
      </c>
      <c r="I168" s="11">
        <f>IF(B168="Actual",H168,IF(D168="Revenue",H168*(1+Scenario_Assumptions!$B$4),H168*(1+Scenario_Assumptions!$B$5)*IF(OR(E168="Product &amp; engineering",E168="General &amp; administrative"),1-Scenario_Assumptions!$B$6,1)))</f>
        <v/>
      </c>
      <c r="J168" s="11">
        <f>(I168-F168)*IF(D168="Revenue",1,-1)</f>
        <v/>
      </c>
    </row>
    <row r="169">
      <c r="A169" t="inlineStr">
        <is>
          <t>2026-08-01</t>
        </is>
      </c>
      <c r="B169" t="inlineStr">
        <is>
          <t>Forecast</t>
        </is>
      </c>
      <c r="C169" t="inlineStr">
        <is>
          <t>Customer Solutions</t>
        </is>
      </c>
      <c r="D169" t="inlineStr">
        <is>
          <t>COGS</t>
        </is>
      </c>
      <c r="E169" t="inlineStr">
        <is>
          <t>Customer support delivery</t>
        </is>
      </c>
      <c r="F169" s="11" t="n">
        <v>171500</v>
      </c>
      <c r="G169" s="11" t="n"/>
      <c r="H169" s="11" t="n">
        <v>174501.25</v>
      </c>
      <c r="I169" s="11">
        <f>IF(B169="Actual",H169,IF(D169="Revenue",H169*(1+Scenario_Assumptions!$B$4),H169*(1+Scenario_Assumptions!$B$5)*IF(OR(E169="Product &amp; engineering",E169="General &amp; administrative"),1-Scenario_Assumptions!$B$6,1)))</f>
        <v/>
      </c>
      <c r="J169" s="11">
        <f>(I169-F169)*IF(D169="Revenue",1,-1)</f>
        <v/>
      </c>
    </row>
    <row r="170">
      <c r="A170" t="inlineStr">
        <is>
          <t>2026-08-01</t>
        </is>
      </c>
      <c r="B170" t="inlineStr">
        <is>
          <t>Forecast</t>
        </is>
      </c>
      <c r="C170" t="inlineStr">
        <is>
          <t>Customer Solutions</t>
        </is>
      </c>
      <c r="D170" t="inlineStr">
        <is>
          <t>Operating expense</t>
        </is>
      </c>
      <c r="E170" t="inlineStr">
        <is>
          <t>Sales &amp; marketing</t>
        </is>
      </c>
      <c r="F170" s="11" t="n">
        <v>546000</v>
      </c>
      <c r="G170" s="11" t="n"/>
      <c r="H170" s="11" t="n">
        <v>574665</v>
      </c>
      <c r="I170" s="11">
        <f>IF(B170="Actual",H170,IF(D170="Revenue",H170*(1+Scenario_Assumptions!$B$4),H170*(1+Scenario_Assumptions!$B$5)*IF(OR(E170="Product &amp; engineering",E170="General &amp; administrative"),1-Scenario_Assumptions!$B$6,1)))</f>
        <v/>
      </c>
      <c r="J170" s="11">
        <f>(I170-F170)*IF(D170="Revenue",1,-1)</f>
        <v/>
      </c>
    </row>
    <row r="171">
      <c r="A171" t="inlineStr">
        <is>
          <t>2026-08-01</t>
        </is>
      </c>
      <c r="B171" t="inlineStr">
        <is>
          <t>Forecast</t>
        </is>
      </c>
      <c r="C171" t="inlineStr">
        <is>
          <t>Customer Solutions</t>
        </is>
      </c>
      <c r="D171" t="inlineStr">
        <is>
          <t>Operating expense</t>
        </is>
      </c>
      <c r="E171" t="inlineStr">
        <is>
          <t>Product &amp; engineering</t>
        </is>
      </c>
      <c r="F171" s="11" t="n">
        <v>721280</v>
      </c>
      <c r="G171" s="11" t="n"/>
      <c r="H171" s="11" t="n">
        <v>738951.36</v>
      </c>
      <c r="I171" s="11">
        <f>IF(B171="Actual",H171,IF(D171="Revenue",H171*(1+Scenario_Assumptions!$B$4),H171*(1+Scenario_Assumptions!$B$5)*IF(OR(E171="Product &amp; engineering",E171="General &amp; administrative"),1-Scenario_Assumptions!$B$6,1)))</f>
        <v/>
      </c>
      <c r="J171" s="11">
        <f>(I171-F171)*IF(D171="Revenue",1,-1)</f>
        <v/>
      </c>
    </row>
    <row r="172">
      <c r="A172" t="inlineStr">
        <is>
          <t>2026-08-01</t>
        </is>
      </c>
      <c r="B172" t="inlineStr">
        <is>
          <t>Forecast</t>
        </is>
      </c>
      <c r="C172" t="inlineStr">
        <is>
          <t>Customer Solutions</t>
        </is>
      </c>
      <c r="D172" t="inlineStr">
        <is>
          <t>Operating expense</t>
        </is>
      </c>
      <c r="E172" t="inlineStr">
        <is>
          <t>General &amp; administrative</t>
        </is>
      </c>
      <c r="F172" s="11" t="n">
        <v>301000</v>
      </c>
      <c r="G172" s="11" t="n"/>
      <c r="H172" s="11" t="n">
        <v>299946.5</v>
      </c>
      <c r="I172" s="11">
        <f>IF(B172="Actual",H172,IF(D172="Revenue",H172*(1+Scenario_Assumptions!$B$4),H172*(1+Scenario_Assumptions!$B$5)*IF(OR(E172="Product &amp; engineering",E172="General &amp; administrative"),1-Scenario_Assumptions!$B$6,1)))</f>
        <v/>
      </c>
      <c r="J172" s="11">
        <f>(I172-F172)*IF(D172="Revenue",1,-1)</f>
        <v/>
      </c>
    </row>
    <row r="173">
      <c r="A173" t="inlineStr">
        <is>
          <t>2026-09-01</t>
        </is>
      </c>
      <c r="B173" t="inlineStr">
        <is>
          <t>Forecast</t>
        </is>
      </c>
      <c r="C173" t="inlineStr">
        <is>
          <t>Enterprise</t>
        </is>
      </c>
      <c r="D173" t="inlineStr">
        <is>
          <t>Revenue</t>
        </is>
      </c>
      <c r="E173" t="inlineStr">
        <is>
          <t>Subscription revenue</t>
        </is>
      </c>
      <c r="F173" s="11" t="n">
        <v>5119958.51</v>
      </c>
      <c r="G173" s="11" t="n"/>
      <c r="H173" s="11" t="n">
        <v>5030359.23</v>
      </c>
      <c r="I173" s="11">
        <f>IF(B173="Actual",H173,IF(D173="Revenue",H173*(1+Scenario_Assumptions!$B$4),H173*(1+Scenario_Assumptions!$B$5)*IF(OR(E173="Product &amp; engineering",E173="General &amp; administrative"),1-Scenario_Assumptions!$B$6,1)))</f>
        <v/>
      </c>
      <c r="J173" s="11">
        <f>(I173-F173)*IF(D173="Revenue",1,-1)</f>
        <v/>
      </c>
    </row>
    <row r="174">
      <c r="A174" t="inlineStr">
        <is>
          <t>2026-09-01</t>
        </is>
      </c>
      <c r="B174" t="inlineStr">
        <is>
          <t>Forecast</t>
        </is>
      </c>
      <c r="C174" t="inlineStr">
        <is>
          <t>Enterprise</t>
        </is>
      </c>
      <c r="D174" t="inlineStr">
        <is>
          <t>Revenue</t>
        </is>
      </c>
      <c r="E174" t="inlineStr">
        <is>
          <t>Professional services revenue</t>
        </is>
      </c>
      <c r="F174" s="11" t="n">
        <v>1151990.66</v>
      </c>
      <c r="G174" s="11" t="n"/>
      <c r="H174" s="11" t="n">
        <v>1160054.6</v>
      </c>
      <c r="I174" s="11">
        <f>IF(B174="Actual",H174,IF(D174="Revenue",H174*(1+Scenario_Assumptions!$B$4),H174*(1+Scenario_Assumptions!$B$5)*IF(OR(E174="Product &amp; engineering",E174="General &amp; administrative"),1-Scenario_Assumptions!$B$6,1)))</f>
        <v/>
      </c>
      <c r="J174" s="11">
        <f>(I174-F174)*IF(D174="Revenue",1,-1)</f>
        <v/>
      </c>
    </row>
    <row r="175">
      <c r="A175" t="inlineStr">
        <is>
          <t>2026-09-01</t>
        </is>
      </c>
      <c r="B175" t="inlineStr">
        <is>
          <t>Forecast</t>
        </is>
      </c>
      <c r="C175" t="inlineStr">
        <is>
          <t>Enterprise</t>
        </is>
      </c>
      <c r="D175" t="inlineStr">
        <is>
          <t>COGS</t>
        </is>
      </c>
      <c r="E175" t="inlineStr">
        <is>
          <t>Cloud hosting</t>
        </is>
      </c>
      <c r="F175" s="11" t="n">
        <v>841500</v>
      </c>
      <c r="G175" s="11" t="n"/>
      <c r="H175" s="11" t="n">
        <v>873897.75</v>
      </c>
      <c r="I175" s="11">
        <f>IF(B175="Actual",H175,IF(D175="Revenue",H175*(1+Scenario_Assumptions!$B$4),H175*(1+Scenario_Assumptions!$B$5)*IF(OR(E175="Product &amp; engineering",E175="General &amp; administrative"),1-Scenario_Assumptions!$B$6,1)))</f>
        <v/>
      </c>
      <c r="J175" s="11">
        <f>(I175-F175)*IF(D175="Revenue",1,-1)</f>
        <v/>
      </c>
    </row>
    <row r="176">
      <c r="A176" t="inlineStr">
        <is>
          <t>2026-09-01</t>
        </is>
      </c>
      <c r="B176" t="inlineStr">
        <is>
          <t>Forecast</t>
        </is>
      </c>
      <c r="C176" t="inlineStr">
        <is>
          <t>Enterprise</t>
        </is>
      </c>
      <c r="D176" t="inlineStr">
        <is>
          <t>COGS</t>
        </is>
      </c>
      <c r="E176" t="inlineStr">
        <is>
          <t>Customer support delivery</t>
        </is>
      </c>
      <c r="F176" s="11" t="n">
        <v>404250</v>
      </c>
      <c r="G176" s="11" t="n"/>
      <c r="H176" s="11" t="n">
        <v>411324.38</v>
      </c>
      <c r="I176" s="11">
        <f>IF(B176="Actual",H176,IF(D176="Revenue",H176*(1+Scenario_Assumptions!$B$4),H176*(1+Scenario_Assumptions!$B$5)*IF(OR(E176="Product &amp; engineering",E176="General &amp; administrative"),1-Scenario_Assumptions!$B$6,1)))</f>
        <v/>
      </c>
      <c r="J176" s="11">
        <f>(I176-F176)*IF(D176="Revenue",1,-1)</f>
        <v/>
      </c>
    </row>
    <row r="177">
      <c r="A177" t="inlineStr">
        <is>
          <t>2026-09-01</t>
        </is>
      </c>
      <c r="B177" t="inlineStr">
        <is>
          <t>Forecast</t>
        </is>
      </c>
      <c r="C177" t="inlineStr">
        <is>
          <t>Enterprise</t>
        </is>
      </c>
      <c r="D177" t="inlineStr">
        <is>
          <t>Operating expense</t>
        </is>
      </c>
      <c r="E177" t="inlineStr">
        <is>
          <t>Sales &amp; marketing</t>
        </is>
      </c>
      <c r="F177" s="11" t="n">
        <v>1287000</v>
      </c>
      <c r="G177" s="11" t="n"/>
      <c r="H177" s="11" t="n">
        <v>1354567.5</v>
      </c>
      <c r="I177" s="11">
        <f>IF(B177="Actual",H177,IF(D177="Revenue",H177*(1+Scenario_Assumptions!$B$4),H177*(1+Scenario_Assumptions!$B$5)*IF(OR(E177="Product &amp; engineering",E177="General &amp; administrative"),1-Scenario_Assumptions!$B$6,1)))</f>
        <v/>
      </c>
      <c r="J177" s="11">
        <f>(I177-F177)*IF(D177="Revenue",1,-1)</f>
        <v/>
      </c>
    </row>
    <row r="178">
      <c r="A178" t="inlineStr">
        <is>
          <t>2026-09-01</t>
        </is>
      </c>
      <c r="B178" t="inlineStr">
        <is>
          <t>Forecast</t>
        </is>
      </c>
      <c r="C178" t="inlineStr">
        <is>
          <t>Enterprise</t>
        </is>
      </c>
      <c r="D178" t="inlineStr">
        <is>
          <t>Operating expense</t>
        </is>
      </c>
      <c r="E178" t="inlineStr">
        <is>
          <t>Product &amp; engineering</t>
        </is>
      </c>
      <c r="F178" s="11" t="n">
        <v>1722930</v>
      </c>
      <c r="G178" s="11" t="n"/>
      <c r="H178" s="11" t="n">
        <v>1765141.78</v>
      </c>
      <c r="I178" s="11">
        <f>IF(B178="Actual",H178,IF(D178="Revenue",H178*(1+Scenario_Assumptions!$B$4),H178*(1+Scenario_Assumptions!$B$5)*IF(OR(E178="Product &amp; engineering",E178="General &amp; administrative"),1-Scenario_Assumptions!$B$6,1)))</f>
        <v/>
      </c>
      <c r="J178" s="11">
        <f>(I178-F178)*IF(D178="Revenue",1,-1)</f>
        <v/>
      </c>
    </row>
    <row r="179">
      <c r="A179" t="inlineStr">
        <is>
          <t>2026-09-01</t>
        </is>
      </c>
      <c r="B179" t="inlineStr">
        <is>
          <t>Forecast</t>
        </is>
      </c>
      <c r="C179" t="inlineStr">
        <is>
          <t>Enterprise</t>
        </is>
      </c>
      <c r="D179" t="inlineStr">
        <is>
          <t>Operating expense</t>
        </is>
      </c>
      <c r="E179" t="inlineStr">
        <is>
          <t>General &amp; administrative</t>
        </is>
      </c>
      <c r="F179" s="11" t="n">
        <v>709500</v>
      </c>
      <c r="G179" s="11" t="n"/>
      <c r="H179" s="11" t="n">
        <v>707016.75</v>
      </c>
      <c r="I179" s="11">
        <f>IF(B179="Actual",H179,IF(D179="Revenue",H179*(1+Scenario_Assumptions!$B$4),H179*(1+Scenario_Assumptions!$B$5)*IF(OR(E179="Product &amp; engineering",E179="General &amp; administrative"),1-Scenario_Assumptions!$B$6,1)))</f>
        <v/>
      </c>
      <c r="J179" s="11">
        <f>(I179-F179)*IF(D179="Revenue",1,-1)</f>
        <v/>
      </c>
    </row>
    <row r="180">
      <c r="A180" t="inlineStr">
        <is>
          <t>2026-09-01</t>
        </is>
      </c>
      <c r="B180" t="inlineStr">
        <is>
          <t>Forecast</t>
        </is>
      </c>
      <c r="C180" t="inlineStr">
        <is>
          <t>SMB</t>
        </is>
      </c>
      <c r="D180" t="inlineStr">
        <is>
          <t>Revenue</t>
        </is>
      </c>
      <c r="E180" t="inlineStr">
        <is>
          <t>Subscription revenue</t>
        </is>
      </c>
      <c r="F180" s="11" t="n">
        <v>3103005.15</v>
      </c>
      <c r="G180" s="11" t="n"/>
      <c r="H180" s="11" t="n">
        <v>3048702.56</v>
      </c>
      <c r="I180" s="11">
        <f>IF(B180="Actual",H180,IF(D180="Revenue",H180*(1+Scenario_Assumptions!$B$4),H180*(1+Scenario_Assumptions!$B$5)*IF(OR(E180="Product &amp; engineering",E180="General &amp; administrative"),1-Scenario_Assumptions!$B$6,1)))</f>
        <v/>
      </c>
      <c r="J180" s="11">
        <f>(I180-F180)*IF(D180="Revenue",1,-1)</f>
        <v/>
      </c>
    </row>
    <row r="181">
      <c r="A181" t="inlineStr">
        <is>
          <t>2026-09-01</t>
        </is>
      </c>
      <c r="B181" t="inlineStr">
        <is>
          <t>Forecast</t>
        </is>
      </c>
      <c r="C181" t="inlineStr">
        <is>
          <t>SMB</t>
        </is>
      </c>
      <c r="D181" t="inlineStr">
        <is>
          <t>Revenue</t>
        </is>
      </c>
      <c r="E181" t="inlineStr">
        <is>
          <t>Professional services revenue</t>
        </is>
      </c>
      <c r="F181" s="11" t="n">
        <v>698176.16</v>
      </c>
      <c r="G181" s="11" t="n"/>
      <c r="H181" s="11" t="n">
        <v>703063.39</v>
      </c>
      <c r="I181" s="11">
        <f>IF(B181="Actual",H181,IF(D181="Revenue",H181*(1+Scenario_Assumptions!$B$4),H181*(1+Scenario_Assumptions!$B$5)*IF(OR(E181="Product &amp; engineering",E181="General &amp; administrative"),1-Scenario_Assumptions!$B$6,1)))</f>
        <v/>
      </c>
      <c r="J181" s="11">
        <f>(I181-F181)*IF(D181="Revenue",1,-1)</f>
        <v/>
      </c>
    </row>
    <row r="182">
      <c r="A182" t="inlineStr">
        <is>
          <t>2026-09-01</t>
        </is>
      </c>
      <c r="B182" t="inlineStr">
        <is>
          <t>Forecast</t>
        </is>
      </c>
      <c r="C182" t="inlineStr">
        <is>
          <t>SMB</t>
        </is>
      </c>
      <c r="D182" t="inlineStr">
        <is>
          <t>COGS</t>
        </is>
      </c>
      <c r="E182" t="inlineStr">
        <is>
          <t>Cloud hosting</t>
        </is>
      </c>
      <c r="F182" s="11" t="n">
        <v>510000</v>
      </c>
      <c r="G182" s="11" t="n"/>
      <c r="H182" s="11" t="n">
        <v>529635</v>
      </c>
      <c r="I182" s="11">
        <f>IF(B182="Actual",H182,IF(D182="Revenue",H182*(1+Scenario_Assumptions!$B$4),H182*(1+Scenario_Assumptions!$B$5)*IF(OR(E182="Product &amp; engineering",E182="General &amp; administrative"),1-Scenario_Assumptions!$B$6,1)))</f>
        <v/>
      </c>
      <c r="J182" s="11">
        <f>(I182-F182)*IF(D182="Revenue",1,-1)</f>
        <v/>
      </c>
    </row>
    <row r="183">
      <c r="A183" t="inlineStr">
        <is>
          <t>2026-09-01</t>
        </is>
      </c>
      <c r="B183" t="inlineStr">
        <is>
          <t>Forecast</t>
        </is>
      </c>
      <c r="C183" t="inlineStr">
        <is>
          <t>SMB</t>
        </is>
      </c>
      <c r="D183" t="inlineStr">
        <is>
          <t>COGS</t>
        </is>
      </c>
      <c r="E183" t="inlineStr">
        <is>
          <t>Customer support delivery</t>
        </is>
      </c>
      <c r="F183" s="11" t="n">
        <v>245000</v>
      </c>
      <c r="G183" s="11" t="n"/>
      <c r="H183" s="11" t="n">
        <v>249287.5</v>
      </c>
      <c r="I183" s="11">
        <f>IF(B183="Actual",H183,IF(D183="Revenue",H183*(1+Scenario_Assumptions!$B$4),H183*(1+Scenario_Assumptions!$B$5)*IF(OR(E183="Product &amp; engineering",E183="General &amp; administrative"),1-Scenario_Assumptions!$B$6,1)))</f>
        <v/>
      </c>
      <c r="J183" s="11">
        <f>(I183-F183)*IF(D183="Revenue",1,-1)</f>
        <v/>
      </c>
    </row>
    <row r="184">
      <c r="A184" t="inlineStr">
        <is>
          <t>2026-09-01</t>
        </is>
      </c>
      <c r="B184" t="inlineStr">
        <is>
          <t>Forecast</t>
        </is>
      </c>
      <c r="C184" t="inlineStr">
        <is>
          <t>SMB</t>
        </is>
      </c>
      <c r="D184" t="inlineStr">
        <is>
          <t>Operating expense</t>
        </is>
      </c>
      <c r="E184" t="inlineStr">
        <is>
          <t>Sales &amp; marketing</t>
        </is>
      </c>
      <c r="F184" s="11" t="n">
        <v>780000</v>
      </c>
      <c r="G184" s="11" t="n"/>
      <c r="H184" s="11" t="n">
        <v>820950</v>
      </c>
      <c r="I184" s="11">
        <f>IF(B184="Actual",H184,IF(D184="Revenue",H184*(1+Scenario_Assumptions!$B$4),H184*(1+Scenario_Assumptions!$B$5)*IF(OR(E184="Product &amp; engineering",E184="General &amp; administrative"),1-Scenario_Assumptions!$B$6,1)))</f>
        <v/>
      </c>
      <c r="J184" s="11">
        <f>(I184-F184)*IF(D184="Revenue",1,-1)</f>
        <v/>
      </c>
    </row>
    <row r="185">
      <c r="A185" t="inlineStr">
        <is>
          <t>2026-09-01</t>
        </is>
      </c>
      <c r="B185" t="inlineStr">
        <is>
          <t>Forecast</t>
        </is>
      </c>
      <c r="C185" t="inlineStr">
        <is>
          <t>SMB</t>
        </is>
      </c>
      <c r="D185" t="inlineStr">
        <is>
          <t>Operating expense</t>
        </is>
      </c>
      <c r="E185" t="inlineStr">
        <is>
          <t>Product &amp; engineering</t>
        </is>
      </c>
      <c r="F185" s="11" t="n">
        <v>1044200</v>
      </c>
      <c r="G185" s="11" t="n"/>
      <c r="H185" s="11" t="n">
        <v>1069782.9</v>
      </c>
      <c r="I185" s="11">
        <f>IF(B185="Actual",H185,IF(D185="Revenue",H185*(1+Scenario_Assumptions!$B$4),H185*(1+Scenario_Assumptions!$B$5)*IF(OR(E185="Product &amp; engineering",E185="General &amp; administrative"),1-Scenario_Assumptions!$B$6,1)))</f>
        <v/>
      </c>
      <c r="J185" s="11">
        <f>(I185-F185)*IF(D185="Revenue",1,-1)</f>
        <v/>
      </c>
    </row>
    <row r="186">
      <c r="A186" t="inlineStr">
        <is>
          <t>2026-09-01</t>
        </is>
      </c>
      <c r="B186" t="inlineStr">
        <is>
          <t>Forecast</t>
        </is>
      </c>
      <c r="C186" t="inlineStr">
        <is>
          <t>SMB</t>
        </is>
      </c>
      <c r="D186" t="inlineStr">
        <is>
          <t>Operating expense</t>
        </is>
      </c>
      <c r="E186" t="inlineStr">
        <is>
          <t>General &amp; administrative</t>
        </is>
      </c>
      <c r="F186" s="11" t="n">
        <v>430000</v>
      </c>
      <c r="G186" s="11" t="n"/>
      <c r="H186" s="11" t="n">
        <v>428495</v>
      </c>
      <c r="I186" s="11">
        <f>IF(B186="Actual",H186,IF(D186="Revenue",H186*(1+Scenario_Assumptions!$B$4),H186*(1+Scenario_Assumptions!$B$5)*IF(OR(E186="Product &amp; engineering",E186="General &amp; administrative"),1-Scenario_Assumptions!$B$6,1)))</f>
        <v/>
      </c>
      <c r="J186" s="11">
        <f>(I186-F186)*IF(D186="Revenue",1,-1)</f>
        <v/>
      </c>
    </row>
    <row r="187">
      <c r="A187" t="inlineStr">
        <is>
          <t>2026-09-01</t>
        </is>
      </c>
      <c r="B187" t="inlineStr">
        <is>
          <t>Forecast</t>
        </is>
      </c>
      <c r="C187" t="inlineStr">
        <is>
          <t>Customer Solutions</t>
        </is>
      </c>
      <c r="D187" t="inlineStr">
        <is>
          <t>Revenue</t>
        </is>
      </c>
      <c r="E187" t="inlineStr">
        <is>
          <t>Subscription revenue</t>
        </is>
      </c>
      <c r="F187" s="11" t="n">
        <v>2172103.61</v>
      </c>
      <c r="G187" s="11" t="n"/>
      <c r="H187" s="11" t="n">
        <v>2134091.8</v>
      </c>
      <c r="I187" s="11">
        <f>IF(B187="Actual",H187,IF(D187="Revenue",H187*(1+Scenario_Assumptions!$B$4),H187*(1+Scenario_Assumptions!$B$5)*IF(OR(E187="Product &amp; engineering",E187="General &amp; administrative"),1-Scenario_Assumptions!$B$6,1)))</f>
        <v/>
      </c>
      <c r="J187" s="11">
        <f>(I187-F187)*IF(D187="Revenue",1,-1)</f>
        <v/>
      </c>
    </row>
    <row r="188">
      <c r="A188" t="inlineStr">
        <is>
          <t>2026-09-01</t>
        </is>
      </c>
      <c r="B188" t="inlineStr">
        <is>
          <t>Forecast</t>
        </is>
      </c>
      <c r="C188" t="inlineStr">
        <is>
          <t>Customer Solutions</t>
        </is>
      </c>
      <c r="D188" t="inlineStr">
        <is>
          <t>Revenue</t>
        </is>
      </c>
      <c r="E188" t="inlineStr">
        <is>
          <t>Professional services revenue</t>
        </is>
      </c>
      <c r="F188" s="11" t="n">
        <v>488723.31</v>
      </c>
      <c r="G188" s="11" t="n"/>
      <c r="H188" s="11" t="n">
        <v>492144.38</v>
      </c>
      <c r="I188" s="11">
        <f>IF(B188="Actual",H188,IF(D188="Revenue",H188*(1+Scenario_Assumptions!$B$4),H188*(1+Scenario_Assumptions!$B$5)*IF(OR(E188="Product &amp; engineering",E188="General &amp; administrative"),1-Scenario_Assumptions!$B$6,1)))</f>
        <v/>
      </c>
      <c r="J188" s="11">
        <f>(I188-F188)*IF(D188="Revenue",1,-1)</f>
        <v/>
      </c>
    </row>
    <row r="189">
      <c r="A189" t="inlineStr">
        <is>
          <t>2026-09-01</t>
        </is>
      </c>
      <c r="B189" t="inlineStr">
        <is>
          <t>Forecast</t>
        </is>
      </c>
      <c r="C189" t="inlineStr">
        <is>
          <t>Customer Solutions</t>
        </is>
      </c>
      <c r="D189" t="inlineStr">
        <is>
          <t>COGS</t>
        </is>
      </c>
      <c r="E189" t="inlineStr">
        <is>
          <t>Cloud hosting</t>
        </is>
      </c>
      <c r="F189" s="11" t="n">
        <v>357000</v>
      </c>
      <c r="G189" s="11" t="n"/>
      <c r="H189" s="11" t="n">
        <v>370744.5</v>
      </c>
      <c r="I189" s="11">
        <f>IF(B189="Actual",H189,IF(D189="Revenue",H189*(1+Scenario_Assumptions!$B$4),H189*(1+Scenario_Assumptions!$B$5)*IF(OR(E189="Product &amp; engineering",E189="General &amp; administrative"),1-Scenario_Assumptions!$B$6,1)))</f>
        <v/>
      </c>
      <c r="J189" s="11">
        <f>(I189-F189)*IF(D189="Revenue",1,-1)</f>
        <v/>
      </c>
    </row>
    <row r="190">
      <c r="A190" t="inlineStr">
        <is>
          <t>2026-09-01</t>
        </is>
      </c>
      <c r="B190" t="inlineStr">
        <is>
          <t>Forecast</t>
        </is>
      </c>
      <c r="C190" t="inlineStr">
        <is>
          <t>Customer Solutions</t>
        </is>
      </c>
      <c r="D190" t="inlineStr">
        <is>
          <t>COGS</t>
        </is>
      </c>
      <c r="E190" t="inlineStr">
        <is>
          <t>Customer support delivery</t>
        </is>
      </c>
      <c r="F190" s="11" t="n">
        <v>171500</v>
      </c>
      <c r="G190" s="11" t="n"/>
      <c r="H190" s="11" t="n">
        <v>174501.25</v>
      </c>
      <c r="I190" s="11">
        <f>IF(B190="Actual",H190,IF(D190="Revenue",H190*(1+Scenario_Assumptions!$B$4),H190*(1+Scenario_Assumptions!$B$5)*IF(OR(E190="Product &amp; engineering",E190="General &amp; administrative"),1-Scenario_Assumptions!$B$6,1)))</f>
        <v/>
      </c>
      <c r="J190" s="11">
        <f>(I190-F190)*IF(D190="Revenue",1,-1)</f>
        <v/>
      </c>
    </row>
    <row r="191">
      <c r="A191" t="inlineStr">
        <is>
          <t>2026-09-01</t>
        </is>
      </c>
      <c r="B191" t="inlineStr">
        <is>
          <t>Forecast</t>
        </is>
      </c>
      <c r="C191" t="inlineStr">
        <is>
          <t>Customer Solutions</t>
        </is>
      </c>
      <c r="D191" t="inlineStr">
        <is>
          <t>Operating expense</t>
        </is>
      </c>
      <c r="E191" t="inlineStr">
        <is>
          <t>Sales &amp; marketing</t>
        </is>
      </c>
      <c r="F191" s="11" t="n">
        <v>546000</v>
      </c>
      <c r="G191" s="11" t="n"/>
      <c r="H191" s="11" t="n">
        <v>574665</v>
      </c>
      <c r="I191" s="11">
        <f>IF(B191="Actual",H191,IF(D191="Revenue",H191*(1+Scenario_Assumptions!$B$4),H191*(1+Scenario_Assumptions!$B$5)*IF(OR(E191="Product &amp; engineering",E191="General &amp; administrative"),1-Scenario_Assumptions!$B$6,1)))</f>
        <v/>
      </c>
      <c r="J191" s="11">
        <f>(I191-F191)*IF(D191="Revenue",1,-1)</f>
        <v/>
      </c>
    </row>
    <row r="192">
      <c r="A192" t="inlineStr">
        <is>
          <t>2026-09-01</t>
        </is>
      </c>
      <c r="B192" t="inlineStr">
        <is>
          <t>Forecast</t>
        </is>
      </c>
      <c r="C192" t="inlineStr">
        <is>
          <t>Customer Solutions</t>
        </is>
      </c>
      <c r="D192" t="inlineStr">
        <is>
          <t>Operating expense</t>
        </is>
      </c>
      <c r="E192" t="inlineStr">
        <is>
          <t>Product &amp; engineering</t>
        </is>
      </c>
      <c r="F192" s="11" t="n">
        <v>730940</v>
      </c>
      <c r="G192" s="11" t="n"/>
      <c r="H192" s="11" t="n">
        <v>748848.03</v>
      </c>
      <c r="I192" s="11">
        <f>IF(B192="Actual",H192,IF(D192="Revenue",H192*(1+Scenario_Assumptions!$B$4),H192*(1+Scenario_Assumptions!$B$5)*IF(OR(E192="Product &amp; engineering",E192="General &amp; administrative"),1-Scenario_Assumptions!$B$6,1)))</f>
        <v/>
      </c>
      <c r="J192" s="11">
        <f>(I192-F192)*IF(D192="Revenue",1,-1)</f>
        <v/>
      </c>
    </row>
    <row r="193">
      <c r="A193" t="inlineStr">
        <is>
          <t>2026-09-01</t>
        </is>
      </c>
      <c r="B193" t="inlineStr">
        <is>
          <t>Forecast</t>
        </is>
      </c>
      <c r="C193" t="inlineStr">
        <is>
          <t>Customer Solutions</t>
        </is>
      </c>
      <c r="D193" t="inlineStr">
        <is>
          <t>Operating expense</t>
        </is>
      </c>
      <c r="E193" t="inlineStr">
        <is>
          <t>General &amp; administrative</t>
        </is>
      </c>
      <c r="F193" s="11" t="n">
        <v>301000</v>
      </c>
      <c r="G193" s="11" t="n"/>
      <c r="H193" s="11" t="n">
        <v>299946.5</v>
      </c>
      <c r="I193" s="11">
        <f>IF(B193="Actual",H193,IF(D193="Revenue",H193*(1+Scenario_Assumptions!$B$4),H193*(1+Scenario_Assumptions!$B$5)*IF(OR(E193="Product &amp; engineering",E193="General &amp; administrative"),1-Scenario_Assumptions!$B$6,1)))</f>
        <v/>
      </c>
      <c r="J193" s="11">
        <f>(I193-F193)*IF(D193="Revenue",1,-1)</f>
        <v/>
      </c>
    </row>
    <row r="194">
      <c r="A194" t="inlineStr">
        <is>
          <t>2026-10-01</t>
        </is>
      </c>
      <c r="B194" t="inlineStr">
        <is>
          <t>Forecast</t>
        </is>
      </c>
      <c r="C194" t="inlineStr">
        <is>
          <t>Enterprise</t>
        </is>
      </c>
      <c r="D194" t="inlineStr">
        <is>
          <t>Revenue</t>
        </is>
      </c>
      <c r="E194" t="inlineStr">
        <is>
          <t>Subscription revenue</t>
        </is>
      </c>
      <c r="F194" s="11" t="n">
        <v>5570400</v>
      </c>
      <c r="G194" s="11" t="n"/>
      <c r="H194" s="11" t="n">
        <v>5472918</v>
      </c>
      <c r="I194" s="11">
        <f>IF(B194="Actual",H194,IF(D194="Revenue",H194*(1+Scenario_Assumptions!$B$4),H194*(1+Scenario_Assumptions!$B$5)*IF(OR(E194="Product &amp; engineering",E194="General &amp; administrative"),1-Scenario_Assumptions!$B$6,1)))</f>
        <v/>
      </c>
      <c r="J194" s="11">
        <f>(I194-F194)*IF(D194="Revenue",1,-1)</f>
        <v/>
      </c>
    </row>
    <row r="195">
      <c r="A195" t="inlineStr">
        <is>
          <t>2026-10-01</t>
        </is>
      </c>
      <c r="B195" t="inlineStr">
        <is>
          <t>Forecast</t>
        </is>
      </c>
      <c r="C195" t="inlineStr">
        <is>
          <t>Enterprise</t>
        </is>
      </c>
      <c r="D195" t="inlineStr">
        <is>
          <t>Revenue</t>
        </is>
      </c>
      <c r="E195" t="inlineStr">
        <is>
          <t>Professional services revenue</t>
        </is>
      </c>
      <c r="F195" s="11" t="n">
        <v>1253340</v>
      </c>
      <c r="G195" s="11" t="n"/>
      <c r="H195" s="11" t="n">
        <v>1262113.38</v>
      </c>
      <c r="I195" s="11">
        <f>IF(B195="Actual",H195,IF(D195="Revenue",H195*(1+Scenario_Assumptions!$B$4),H195*(1+Scenario_Assumptions!$B$5)*IF(OR(E195="Product &amp; engineering",E195="General &amp; administrative"),1-Scenario_Assumptions!$B$6,1)))</f>
        <v/>
      </c>
      <c r="J195" s="11">
        <f>(I195-F195)*IF(D195="Revenue",1,-1)</f>
        <v/>
      </c>
    </row>
    <row r="196">
      <c r="A196" t="inlineStr">
        <is>
          <t>2026-10-01</t>
        </is>
      </c>
      <c r="B196" t="inlineStr">
        <is>
          <t>Forecast</t>
        </is>
      </c>
      <c r="C196" t="inlineStr">
        <is>
          <t>Enterprise</t>
        </is>
      </c>
      <c r="D196" t="inlineStr">
        <is>
          <t>COGS</t>
        </is>
      </c>
      <c r="E196" t="inlineStr">
        <is>
          <t>Cloud hosting</t>
        </is>
      </c>
      <c r="F196" s="11" t="n">
        <v>841500</v>
      </c>
      <c r="G196" s="11" t="n"/>
      <c r="H196" s="11" t="n">
        <v>873897.75</v>
      </c>
      <c r="I196" s="11">
        <f>IF(B196="Actual",H196,IF(D196="Revenue",H196*(1+Scenario_Assumptions!$B$4),H196*(1+Scenario_Assumptions!$B$5)*IF(OR(E196="Product &amp; engineering",E196="General &amp; administrative"),1-Scenario_Assumptions!$B$6,1)))</f>
        <v/>
      </c>
      <c r="J196" s="11">
        <f>(I196-F196)*IF(D196="Revenue",1,-1)</f>
        <v/>
      </c>
    </row>
    <row r="197">
      <c r="A197" t="inlineStr">
        <is>
          <t>2026-10-01</t>
        </is>
      </c>
      <c r="B197" t="inlineStr">
        <is>
          <t>Forecast</t>
        </is>
      </c>
      <c r="C197" t="inlineStr">
        <is>
          <t>Enterprise</t>
        </is>
      </c>
      <c r="D197" t="inlineStr">
        <is>
          <t>COGS</t>
        </is>
      </c>
      <c r="E197" t="inlineStr">
        <is>
          <t>Customer support delivery</t>
        </is>
      </c>
      <c r="F197" s="11" t="n">
        <v>404250</v>
      </c>
      <c r="G197" s="11" t="n"/>
      <c r="H197" s="11" t="n">
        <v>411324.38</v>
      </c>
      <c r="I197" s="11">
        <f>IF(B197="Actual",H197,IF(D197="Revenue",H197*(1+Scenario_Assumptions!$B$4),H197*(1+Scenario_Assumptions!$B$5)*IF(OR(E197="Product &amp; engineering",E197="General &amp; administrative"),1-Scenario_Assumptions!$B$6,1)))</f>
        <v/>
      </c>
      <c r="J197" s="11">
        <f>(I197-F197)*IF(D197="Revenue",1,-1)</f>
        <v/>
      </c>
    </row>
    <row r="198">
      <c r="A198" t="inlineStr">
        <is>
          <t>2026-10-01</t>
        </is>
      </c>
      <c r="B198" t="inlineStr">
        <is>
          <t>Forecast</t>
        </is>
      </c>
      <c r="C198" t="inlineStr">
        <is>
          <t>Enterprise</t>
        </is>
      </c>
      <c r="D198" t="inlineStr">
        <is>
          <t>Operating expense</t>
        </is>
      </c>
      <c r="E198" t="inlineStr">
        <is>
          <t>Sales &amp; marketing</t>
        </is>
      </c>
      <c r="F198" s="11" t="n">
        <v>1287000</v>
      </c>
      <c r="G198" s="11" t="n"/>
      <c r="H198" s="11" t="n">
        <v>1354567.5</v>
      </c>
      <c r="I198" s="11">
        <f>IF(B198="Actual",H198,IF(D198="Revenue",H198*(1+Scenario_Assumptions!$B$4),H198*(1+Scenario_Assumptions!$B$5)*IF(OR(E198="Product &amp; engineering",E198="General &amp; administrative"),1-Scenario_Assumptions!$B$6,1)))</f>
        <v/>
      </c>
      <c r="J198" s="11">
        <f>(I198-F198)*IF(D198="Revenue",1,-1)</f>
        <v/>
      </c>
    </row>
    <row r="199">
      <c r="A199" t="inlineStr">
        <is>
          <t>2026-10-01</t>
        </is>
      </c>
      <c r="B199" t="inlineStr">
        <is>
          <t>Forecast</t>
        </is>
      </c>
      <c r="C199" t="inlineStr">
        <is>
          <t>Enterprise</t>
        </is>
      </c>
      <c r="D199" t="inlineStr">
        <is>
          <t>Operating expense</t>
        </is>
      </c>
      <c r="E199" t="inlineStr">
        <is>
          <t>Product &amp; engineering</t>
        </is>
      </c>
      <c r="F199" s="11" t="n">
        <v>1745700</v>
      </c>
      <c r="G199" s="11" t="n"/>
      <c r="H199" s="11" t="n">
        <v>1788469.65</v>
      </c>
      <c r="I199" s="11">
        <f>IF(B199="Actual",H199,IF(D199="Revenue",H199*(1+Scenario_Assumptions!$B$4),H199*(1+Scenario_Assumptions!$B$5)*IF(OR(E199="Product &amp; engineering",E199="General &amp; administrative"),1-Scenario_Assumptions!$B$6,1)))</f>
        <v/>
      </c>
      <c r="J199" s="11">
        <f>(I199-F199)*IF(D199="Revenue",1,-1)</f>
        <v/>
      </c>
    </row>
    <row r="200">
      <c r="A200" t="inlineStr">
        <is>
          <t>2026-10-01</t>
        </is>
      </c>
      <c r="B200" t="inlineStr">
        <is>
          <t>Forecast</t>
        </is>
      </c>
      <c r="C200" t="inlineStr">
        <is>
          <t>Enterprise</t>
        </is>
      </c>
      <c r="D200" t="inlineStr">
        <is>
          <t>Operating expense</t>
        </is>
      </c>
      <c r="E200" t="inlineStr">
        <is>
          <t>General &amp; administrative</t>
        </is>
      </c>
      <c r="F200" s="11" t="n">
        <v>709500</v>
      </c>
      <c r="G200" s="11" t="n"/>
      <c r="H200" s="11" t="n">
        <v>707016.75</v>
      </c>
      <c r="I200" s="11">
        <f>IF(B200="Actual",H200,IF(D200="Revenue",H200*(1+Scenario_Assumptions!$B$4),H200*(1+Scenario_Assumptions!$B$5)*IF(OR(E200="Product &amp; engineering",E200="General &amp; administrative"),1-Scenario_Assumptions!$B$6,1)))</f>
        <v/>
      </c>
      <c r="J200" s="11">
        <f>(I200-F200)*IF(D200="Revenue",1,-1)</f>
        <v/>
      </c>
    </row>
    <row r="201">
      <c r="A201" t="inlineStr">
        <is>
          <t>2026-10-01</t>
        </is>
      </c>
      <c r="B201" t="inlineStr">
        <is>
          <t>Forecast</t>
        </is>
      </c>
      <c r="C201" t="inlineStr">
        <is>
          <t>SMB</t>
        </is>
      </c>
      <c r="D201" t="inlineStr">
        <is>
          <t>Revenue</t>
        </is>
      </c>
      <c r="E201" t="inlineStr">
        <is>
          <t>Subscription revenue</t>
        </is>
      </c>
      <c r="F201" s="11" t="n">
        <v>3376000</v>
      </c>
      <c r="G201" s="11" t="n"/>
      <c r="H201" s="11" t="n">
        <v>3316920</v>
      </c>
      <c r="I201" s="11">
        <f>IF(B201="Actual",H201,IF(D201="Revenue",H201*(1+Scenario_Assumptions!$B$4),H201*(1+Scenario_Assumptions!$B$5)*IF(OR(E201="Product &amp; engineering",E201="General &amp; administrative"),1-Scenario_Assumptions!$B$6,1)))</f>
        <v/>
      </c>
      <c r="J201" s="11">
        <f>(I201-F201)*IF(D201="Revenue",1,-1)</f>
        <v/>
      </c>
    </row>
    <row r="202">
      <c r="A202" t="inlineStr">
        <is>
          <t>2026-10-01</t>
        </is>
      </c>
      <c r="B202" t="inlineStr">
        <is>
          <t>Forecast</t>
        </is>
      </c>
      <c r="C202" t="inlineStr">
        <is>
          <t>SMB</t>
        </is>
      </c>
      <c r="D202" t="inlineStr">
        <is>
          <t>Revenue</t>
        </is>
      </c>
      <c r="E202" t="inlineStr">
        <is>
          <t>Professional services revenue</t>
        </is>
      </c>
      <c r="F202" s="11" t="n">
        <v>759600</v>
      </c>
      <c r="G202" s="11" t="n"/>
      <c r="H202" s="11" t="n">
        <v>764917.2</v>
      </c>
      <c r="I202" s="11">
        <f>IF(B202="Actual",H202,IF(D202="Revenue",H202*(1+Scenario_Assumptions!$B$4),H202*(1+Scenario_Assumptions!$B$5)*IF(OR(E202="Product &amp; engineering",E202="General &amp; administrative"),1-Scenario_Assumptions!$B$6,1)))</f>
        <v/>
      </c>
      <c r="J202" s="11">
        <f>(I202-F202)*IF(D202="Revenue",1,-1)</f>
        <v/>
      </c>
    </row>
    <row r="203">
      <c r="A203" t="inlineStr">
        <is>
          <t>2026-10-01</t>
        </is>
      </c>
      <c r="B203" t="inlineStr">
        <is>
          <t>Forecast</t>
        </is>
      </c>
      <c r="C203" t="inlineStr">
        <is>
          <t>SMB</t>
        </is>
      </c>
      <c r="D203" t="inlineStr">
        <is>
          <t>COGS</t>
        </is>
      </c>
      <c r="E203" t="inlineStr">
        <is>
          <t>Cloud hosting</t>
        </is>
      </c>
      <c r="F203" s="11" t="n">
        <v>510000</v>
      </c>
      <c r="G203" s="11" t="n"/>
      <c r="H203" s="11" t="n">
        <v>529635</v>
      </c>
      <c r="I203" s="11">
        <f>IF(B203="Actual",H203,IF(D203="Revenue",H203*(1+Scenario_Assumptions!$B$4),H203*(1+Scenario_Assumptions!$B$5)*IF(OR(E203="Product &amp; engineering",E203="General &amp; administrative"),1-Scenario_Assumptions!$B$6,1)))</f>
        <v/>
      </c>
      <c r="J203" s="11">
        <f>(I203-F203)*IF(D203="Revenue",1,-1)</f>
        <v/>
      </c>
    </row>
    <row r="204">
      <c r="A204" t="inlineStr">
        <is>
          <t>2026-10-01</t>
        </is>
      </c>
      <c r="B204" t="inlineStr">
        <is>
          <t>Forecast</t>
        </is>
      </c>
      <c r="C204" t="inlineStr">
        <is>
          <t>SMB</t>
        </is>
      </c>
      <c r="D204" t="inlineStr">
        <is>
          <t>COGS</t>
        </is>
      </c>
      <c r="E204" t="inlineStr">
        <is>
          <t>Customer support delivery</t>
        </is>
      </c>
      <c r="F204" s="11" t="n">
        <v>245000</v>
      </c>
      <c r="G204" s="11" t="n"/>
      <c r="H204" s="11" t="n">
        <v>249287.5</v>
      </c>
      <c r="I204" s="11">
        <f>IF(B204="Actual",H204,IF(D204="Revenue",H204*(1+Scenario_Assumptions!$B$4),H204*(1+Scenario_Assumptions!$B$5)*IF(OR(E204="Product &amp; engineering",E204="General &amp; administrative"),1-Scenario_Assumptions!$B$6,1)))</f>
        <v/>
      </c>
      <c r="J204" s="11">
        <f>(I204-F204)*IF(D204="Revenue",1,-1)</f>
        <v/>
      </c>
    </row>
    <row r="205">
      <c r="A205" t="inlineStr">
        <is>
          <t>2026-10-01</t>
        </is>
      </c>
      <c r="B205" t="inlineStr">
        <is>
          <t>Forecast</t>
        </is>
      </c>
      <c r="C205" t="inlineStr">
        <is>
          <t>SMB</t>
        </is>
      </c>
      <c r="D205" t="inlineStr">
        <is>
          <t>Operating expense</t>
        </is>
      </c>
      <c r="E205" t="inlineStr">
        <is>
          <t>Sales &amp; marketing</t>
        </is>
      </c>
      <c r="F205" s="11" t="n">
        <v>780000</v>
      </c>
      <c r="G205" s="11" t="n"/>
      <c r="H205" s="11" t="n">
        <v>820950</v>
      </c>
      <c r="I205" s="11">
        <f>IF(B205="Actual",H205,IF(D205="Revenue",H205*(1+Scenario_Assumptions!$B$4),H205*(1+Scenario_Assumptions!$B$5)*IF(OR(E205="Product &amp; engineering",E205="General &amp; administrative"),1-Scenario_Assumptions!$B$6,1)))</f>
        <v/>
      </c>
      <c r="J205" s="11">
        <f>(I205-F205)*IF(D205="Revenue",1,-1)</f>
        <v/>
      </c>
    </row>
    <row r="206">
      <c r="A206" t="inlineStr">
        <is>
          <t>2026-10-01</t>
        </is>
      </c>
      <c r="B206" t="inlineStr">
        <is>
          <t>Forecast</t>
        </is>
      </c>
      <c r="C206" t="inlineStr">
        <is>
          <t>SMB</t>
        </is>
      </c>
      <c r="D206" t="inlineStr">
        <is>
          <t>Operating expense</t>
        </is>
      </c>
      <c r="E206" t="inlineStr">
        <is>
          <t>Product &amp; engineering</t>
        </is>
      </c>
      <c r="F206" s="11" t="n">
        <v>1058000</v>
      </c>
      <c r="G206" s="11" t="n"/>
      <c r="H206" s="11" t="n">
        <v>1083921</v>
      </c>
      <c r="I206" s="11">
        <f>IF(B206="Actual",H206,IF(D206="Revenue",H206*(1+Scenario_Assumptions!$B$4),H206*(1+Scenario_Assumptions!$B$5)*IF(OR(E206="Product &amp; engineering",E206="General &amp; administrative"),1-Scenario_Assumptions!$B$6,1)))</f>
        <v/>
      </c>
      <c r="J206" s="11">
        <f>(I206-F206)*IF(D206="Revenue",1,-1)</f>
        <v/>
      </c>
    </row>
    <row r="207">
      <c r="A207" t="inlineStr">
        <is>
          <t>2026-10-01</t>
        </is>
      </c>
      <c r="B207" t="inlineStr">
        <is>
          <t>Forecast</t>
        </is>
      </c>
      <c r="C207" t="inlineStr">
        <is>
          <t>SMB</t>
        </is>
      </c>
      <c r="D207" t="inlineStr">
        <is>
          <t>Operating expense</t>
        </is>
      </c>
      <c r="E207" t="inlineStr">
        <is>
          <t>General &amp; administrative</t>
        </is>
      </c>
      <c r="F207" s="11" t="n">
        <v>430000</v>
      </c>
      <c r="G207" s="11" t="n"/>
      <c r="H207" s="11" t="n">
        <v>428495</v>
      </c>
      <c r="I207" s="11">
        <f>IF(B207="Actual",H207,IF(D207="Revenue",H207*(1+Scenario_Assumptions!$B$4),H207*(1+Scenario_Assumptions!$B$5)*IF(OR(E207="Product &amp; engineering",E207="General &amp; administrative"),1-Scenario_Assumptions!$B$6,1)))</f>
        <v/>
      </c>
      <c r="J207" s="11">
        <f>(I207-F207)*IF(D207="Revenue",1,-1)</f>
        <v/>
      </c>
    </row>
    <row r="208">
      <c r="A208" t="inlineStr">
        <is>
          <t>2026-10-01</t>
        </is>
      </c>
      <c r="B208" t="inlineStr">
        <is>
          <t>Forecast</t>
        </is>
      </c>
      <c r="C208" t="inlineStr">
        <is>
          <t>Customer Solutions</t>
        </is>
      </c>
      <c r="D208" t="inlineStr">
        <is>
          <t>Revenue</t>
        </is>
      </c>
      <c r="E208" t="inlineStr">
        <is>
          <t>Subscription revenue</t>
        </is>
      </c>
      <c r="F208" s="11" t="n">
        <v>2363200</v>
      </c>
      <c r="G208" s="11" t="n"/>
      <c r="H208" s="11" t="n">
        <v>2321844</v>
      </c>
      <c r="I208" s="11">
        <f>IF(B208="Actual",H208,IF(D208="Revenue",H208*(1+Scenario_Assumptions!$B$4),H208*(1+Scenario_Assumptions!$B$5)*IF(OR(E208="Product &amp; engineering",E208="General &amp; administrative"),1-Scenario_Assumptions!$B$6,1)))</f>
        <v/>
      </c>
      <c r="J208" s="11">
        <f>(I208-F208)*IF(D208="Revenue",1,-1)</f>
        <v/>
      </c>
    </row>
    <row r="209">
      <c r="A209" t="inlineStr">
        <is>
          <t>2026-10-01</t>
        </is>
      </c>
      <c r="B209" t="inlineStr">
        <is>
          <t>Forecast</t>
        </is>
      </c>
      <c r="C209" t="inlineStr">
        <is>
          <t>Customer Solutions</t>
        </is>
      </c>
      <c r="D209" t="inlineStr">
        <is>
          <t>Revenue</t>
        </is>
      </c>
      <c r="E209" t="inlineStr">
        <is>
          <t>Professional services revenue</t>
        </is>
      </c>
      <c r="F209" s="11" t="n">
        <v>531720</v>
      </c>
      <c r="G209" s="11" t="n"/>
      <c r="H209" s="11" t="n">
        <v>535442.04</v>
      </c>
      <c r="I209" s="11">
        <f>IF(B209="Actual",H209,IF(D209="Revenue",H209*(1+Scenario_Assumptions!$B$4),H209*(1+Scenario_Assumptions!$B$5)*IF(OR(E209="Product &amp; engineering",E209="General &amp; administrative"),1-Scenario_Assumptions!$B$6,1)))</f>
        <v/>
      </c>
      <c r="J209" s="11">
        <f>(I209-F209)*IF(D209="Revenue",1,-1)</f>
        <v/>
      </c>
    </row>
    <row r="210">
      <c r="A210" t="inlineStr">
        <is>
          <t>2026-10-01</t>
        </is>
      </c>
      <c r="B210" t="inlineStr">
        <is>
          <t>Forecast</t>
        </is>
      </c>
      <c r="C210" t="inlineStr">
        <is>
          <t>Customer Solutions</t>
        </is>
      </c>
      <c r="D210" t="inlineStr">
        <is>
          <t>COGS</t>
        </is>
      </c>
      <c r="E210" t="inlineStr">
        <is>
          <t>Cloud hosting</t>
        </is>
      </c>
      <c r="F210" s="11" t="n">
        <v>357000</v>
      </c>
      <c r="G210" s="11" t="n"/>
      <c r="H210" s="11" t="n">
        <v>370744.5</v>
      </c>
      <c r="I210" s="11">
        <f>IF(B210="Actual",H210,IF(D210="Revenue",H210*(1+Scenario_Assumptions!$B$4),H210*(1+Scenario_Assumptions!$B$5)*IF(OR(E210="Product &amp; engineering",E210="General &amp; administrative"),1-Scenario_Assumptions!$B$6,1)))</f>
        <v/>
      </c>
      <c r="J210" s="11">
        <f>(I210-F210)*IF(D210="Revenue",1,-1)</f>
        <v/>
      </c>
    </row>
    <row r="211">
      <c r="A211" t="inlineStr">
        <is>
          <t>2026-10-01</t>
        </is>
      </c>
      <c r="B211" t="inlineStr">
        <is>
          <t>Forecast</t>
        </is>
      </c>
      <c r="C211" t="inlineStr">
        <is>
          <t>Customer Solutions</t>
        </is>
      </c>
      <c r="D211" t="inlineStr">
        <is>
          <t>COGS</t>
        </is>
      </c>
      <c r="E211" t="inlineStr">
        <is>
          <t>Customer support delivery</t>
        </is>
      </c>
      <c r="F211" s="11" t="n">
        <v>171500</v>
      </c>
      <c r="G211" s="11" t="n"/>
      <c r="H211" s="11" t="n">
        <v>174501.25</v>
      </c>
      <c r="I211" s="11">
        <f>IF(B211="Actual",H211,IF(D211="Revenue",H211*(1+Scenario_Assumptions!$B$4),H211*(1+Scenario_Assumptions!$B$5)*IF(OR(E211="Product &amp; engineering",E211="General &amp; administrative"),1-Scenario_Assumptions!$B$6,1)))</f>
        <v/>
      </c>
      <c r="J211" s="11">
        <f>(I211-F211)*IF(D211="Revenue",1,-1)</f>
        <v/>
      </c>
    </row>
    <row r="212">
      <c r="A212" t="inlineStr">
        <is>
          <t>2026-10-01</t>
        </is>
      </c>
      <c r="B212" t="inlineStr">
        <is>
          <t>Forecast</t>
        </is>
      </c>
      <c r="C212" t="inlineStr">
        <is>
          <t>Customer Solutions</t>
        </is>
      </c>
      <c r="D212" t="inlineStr">
        <is>
          <t>Operating expense</t>
        </is>
      </c>
      <c r="E212" t="inlineStr">
        <is>
          <t>Sales &amp; marketing</t>
        </is>
      </c>
      <c r="F212" s="11" t="n">
        <v>546000</v>
      </c>
      <c r="G212" s="11" t="n"/>
      <c r="H212" s="11" t="n">
        <v>574665</v>
      </c>
      <c r="I212" s="11">
        <f>IF(B212="Actual",H212,IF(D212="Revenue",H212*(1+Scenario_Assumptions!$B$4),H212*(1+Scenario_Assumptions!$B$5)*IF(OR(E212="Product &amp; engineering",E212="General &amp; administrative"),1-Scenario_Assumptions!$B$6,1)))</f>
        <v/>
      </c>
      <c r="J212" s="11">
        <f>(I212-F212)*IF(D212="Revenue",1,-1)</f>
        <v/>
      </c>
    </row>
    <row r="213">
      <c r="A213" t="inlineStr">
        <is>
          <t>2026-10-01</t>
        </is>
      </c>
      <c r="B213" t="inlineStr">
        <is>
          <t>Forecast</t>
        </is>
      </c>
      <c r="C213" t="inlineStr">
        <is>
          <t>Customer Solutions</t>
        </is>
      </c>
      <c r="D213" t="inlineStr">
        <is>
          <t>Operating expense</t>
        </is>
      </c>
      <c r="E213" t="inlineStr">
        <is>
          <t>Product &amp; engineering</t>
        </is>
      </c>
      <c r="F213" s="11" t="n">
        <v>740600</v>
      </c>
      <c r="G213" s="11" t="n"/>
      <c r="H213" s="11" t="n">
        <v>758744.7</v>
      </c>
      <c r="I213" s="11">
        <f>IF(B213="Actual",H213,IF(D213="Revenue",H213*(1+Scenario_Assumptions!$B$4),H213*(1+Scenario_Assumptions!$B$5)*IF(OR(E213="Product &amp; engineering",E213="General &amp; administrative"),1-Scenario_Assumptions!$B$6,1)))</f>
        <v/>
      </c>
      <c r="J213" s="11">
        <f>(I213-F213)*IF(D213="Revenue",1,-1)</f>
        <v/>
      </c>
    </row>
    <row r="214">
      <c r="A214" t="inlineStr">
        <is>
          <t>2026-10-01</t>
        </is>
      </c>
      <c r="B214" t="inlineStr">
        <is>
          <t>Forecast</t>
        </is>
      </c>
      <c r="C214" t="inlineStr">
        <is>
          <t>Customer Solutions</t>
        </is>
      </c>
      <c r="D214" t="inlineStr">
        <is>
          <t>Operating expense</t>
        </is>
      </c>
      <c r="E214" t="inlineStr">
        <is>
          <t>General &amp; administrative</t>
        </is>
      </c>
      <c r="F214" s="11" t="n">
        <v>301000</v>
      </c>
      <c r="G214" s="11" t="n"/>
      <c r="H214" s="11" t="n">
        <v>299946.5</v>
      </c>
      <c r="I214" s="11">
        <f>IF(B214="Actual",H214,IF(D214="Revenue",H214*(1+Scenario_Assumptions!$B$4),H214*(1+Scenario_Assumptions!$B$5)*IF(OR(E214="Product &amp; engineering",E214="General &amp; administrative"),1-Scenario_Assumptions!$B$6,1)))</f>
        <v/>
      </c>
      <c r="J214" s="11">
        <f>(I214-F214)*IF(D214="Revenue",1,-1)</f>
        <v/>
      </c>
    </row>
    <row r="215">
      <c r="A215" t="inlineStr">
        <is>
          <t>2026-11-01</t>
        </is>
      </c>
      <c r="B215" t="inlineStr">
        <is>
          <t>Forecast</t>
        </is>
      </c>
      <c r="C215" t="inlineStr">
        <is>
          <t>Enterprise</t>
        </is>
      </c>
      <c r="D215" t="inlineStr">
        <is>
          <t>Revenue</t>
        </is>
      </c>
      <c r="E215" t="inlineStr">
        <is>
          <t>Subscription revenue</t>
        </is>
      </c>
      <c r="F215" s="11" t="n">
        <v>5595158.51</v>
      </c>
      <c r="G215" s="11" t="n"/>
      <c r="H215" s="11" t="n">
        <v>5497243.23</v>
      </c>
      <c r="I215" s="11">
        <f>IF(B215="Actual",H215,IF(D215="Revenue",H215*(1+Scenario_Assumptions!$B$4),H215*(1+Scenario_Assumptions!$B$5)*IF(OR(E215="Product &amp; engineering",E215="General &amp; administrative"),1-Scenario_Assumptions!$B$6,1)))</f>
        <v/>
      </c>
      <c r="J215" s="11">
        <f>(I215-F215)*IF(D215="Revenue",1,-1)</f>
        <v/>
      </c>
    </row>
    <row r="216">
      <c r="A216" t="inlineStr">
        <is>
          <t>2026-11-01</t>
        </is>
      </c>
      <c r="B216" t="inlineStr">
        <is>
          <t>Forecast</t>
        </is>
      </c>
      <c r="C216" t="inlineStr">
        <is>
          <t>Enterprise</t>
        </is>
      </c>
      <c r="D216" t="inlineStr">
        <is>
          <t>Revenue</t>
        </is>
      </c>
      <c r="E216" t="inlineStr">
        <is>
          <t>Professional services revenue</t>
        </is>
      </c>
      <c r="F216" s="11" t="n">
        <v>1258910.66</v>
      </c>
      <c r="G216" s="11" t="n"/>
      <c r="H216" s="11" t="n">
        <v>1267723.04</v>
      </c>
      <c r="I216" s="11">
        <f>IF(B216="Actual",H216,IF(D216="Revenue",H216*(1+Scenario_Assumptions!$B$4),H216*(1+Scenario_Assumptions!$B$5)*IF(OR(E216="Product &amp; engineering",E216="General &amp; administrative"),1-Scenario_Assumptions!$B$6,1)))</f>
        <v/>
      </c>
      <c r="J216" s="11">
        <f>(I216-F216)*IF(D216="Revenue",1,-1)</f>
        <v/>
      </c>
    </row>
    <row r="217">
      <c r="A217" t="inlineStr">
        <is>
          <t>2026-11-01</t>
        </is>
      </c>
      <c r="B217" t="inlineStr">
        <is>
          <t>Forecast</t>
        </is>
      </c>
      <c r="C217" t="inlineStr">
        <is>
          <t>Enterprise</t>
        </is>
      </c>
      <c r="D217" t="inlineStr">
        <is>
          <t>COGS</t>
        </is>
      </c>
      <c r="E217" t="inlineStr">
        <is>
          <t>Cloud hosting</t>
        </is>
      </c>
      <c r="F217" s="11" t="n">
        <v>841500</v>
      </c>
      <c r="G217" s="11" t="n"/>
      <c r="H217" s="11" t="n">
        <v>873897.75</v>
      </c>
      <c r="I217" s="11">
        <f>IF(B217="Actual",H217,IF(D217="Revenue",H217*(1+Scenario_Assumptions!$B$4),H217*(1+Scenario_Assumptions!$B$5)*IF(OR(E217="Product &amp; engineering",E217="General &amp; administrative"),1-Scenario_Assumptions!$B$6,1)))</f>
        <v/>
      </c>
      <c r="J217" s="11">
        <f>(I217-F217)*IF(D217="Revenue",1,-1)</f>
        <v/>
      </c>
    </row>
    <row r="218">
      <c r="A218" t="inlineStr">
        <is>
          <t>2026-11-01</t>
        </is>
      </c>
      <c r="B218" t="inlineStr">
        <is>
          <t>Forecast</t>
        </is>
      </c>
      <c r="C218" t="inlineStr">
        <is>
          <t>Enterprise</t>
        </is>
      </c>
      <c r="D218" t="inlineStr">
        <is>
          <t>COGS</t>
        </is>
      </c>
      <c r="E218" t="inlineStr">
        <is>
          <t>Customer support delivery</t>
        </is>
      </c>
      <c r="F218" s="11" t="n">
        <v>404250</v>
      </c>
      <c r="G218" s="11" t="n"/>
      <c r="H218" s="11" t="n">
        <v>411324.38</v>
      </c>
      <c r="I218" s="11">
        <f>IF(B218="Actual",H218,IF(D218="Revenue",H218*(1+Scenario_Assumptions!$B$4),H218*(1+Scenario_Assumptions!$B$5)*IF(OR(E218="Product &amp; engineering",E218="General &amp; administrative"),1-Scenario_Assumptions!$B$6,1)))</f>
        <v/>
      </c>
      <c r="J218" s="11">
        <f>(I218-F218)*IF(D218="Revenue",1,-1)</f>
        <v/>
      </c>
    </row>
    <row r="219">
      <c r="A219" t="inlineStr">
        <is>
          <t>2026-11-01</t>
        </is>
      </c>
      <c r="B219" t="inlineStr">
        <is>
          <t>Forecast</t>
        </is>
      </c>
      <c r="C219" t="inlineStr">
        <is>
          <t>Enterprise</t>
        </is>
      </c>
      <c r="D219" t="inlineStr">
        <is>
          <t>Operating expense</t>
        </is>
      </c>
      <c r="E219" t="inlineStr">
        <is>
          <t>Sales &amp; marketing</t>
        </is>
      </c>
      <c r="F219" s="11" t="n">
        <v>1287000</v>
      </c>
      <c r="G219" s="11" t="n"/>
      <c r="H219" s="11" t="n">
        <v>1354567.5</v>
      </c>
      <c r="I219" s="11">
        <f>IF(B219="Actual",H219,IF(D219="Revenue",H219*(1+Scenario_Assumptions!$B$4),H219*(1+Scenario_Assumptions!$B$5)*IF(OR(E219="Product &amp; engineering",E219="General &amp; administrative"),1-Scenario_Assumptions!$B$6,1)))</f>
        <v/>
      </c>
      <c r="J219" s="11">
        <f>(I219-F219)*IF(D219="Revenue",1,-1)</f>
        <v/>
      </c>
    </row>
    <row r="220">
      <c r="A220" t="inlineStr">
        <is>
          <t>2026-11-01</t>
        </is>
      </c>
      <c r="B220" t="inlineStr">
        <is>
          <t>Forecast</t>
        </is>
      </c>
      <c r="C220" t="inlineStr">
        <is>
          <t>Enterprise</t>
        </is>
      </c>
      <c r="D220" t="inlineStr">
        <is>
          <t>Operating expense</t>
        </is>
      </c>
      <c r="E220" t="inlineStr">
        <is>
          <t>Product &amp; engineering</t>
        </is>
      </c>
      <c r="F220" s="11" t="n">
        <v>1768470</v>
      </c>
      <c r="G220" s="11" t="n"/>
      <c r="H220" s="11" t="n">
        <v>1811797.51</v>
      </c>
      <c r="I220" s="11">
        <f>IF(B220="Actual",H220,IF(D220="Revenue",H220*(1+Scenario_Assumptions!$B$4),H220*(1+Scenario_Assumptions!$B$5)*IF(OR(E220="Product &amp; engineering",E220="General &amp; administrative"),1-Scenario_Assumptions!$B$6,1)))</f>
        <v/>
      </c>
      <c r="J220" s="11">
        <f>(I220-F220)*IF(D220="Revenue",1,-1)</f>
        <v/>
      </c>
    </row>
    <row r="221">
      <c r="A221" t="inlineStr">
        <is>
          <t>2026-11-01</t>
        </is>
      </c>
      <c r="B221" t="inlineStr">
        <is>
          <t>Forecast</t>
        </is>
      </c>
      <c r="C221" t="inlineStr">
        <is>
          <t>Enterprise</t>
        </is>
      </c>
      <c r="D221" t="inlineStr">
        <is>
          <t>Operating expense</t>
        </is>
      </c>
      <c r="E221" t="inlineStr">
        <is>
          <t>General &amp; administrative</t>
        </is>
      </c>
      <c r="F221" s="11" t="n">
        <v>709500</v>
      </c>
      <c r="G221" s="11" t="n"/>
      <c r="H221" s="11" t="n">
        <v>707016.75</v>
      </c>
      <c r="I221" s="11">
        <f>IF(B221="Actual",H221,IF(D221="Revenue",H221*(1+Scenario_Assumptions!$B$4),H221*(1+Scenario_Assumptions!$B$5)*IF(OR(E221="Product &amp; engineering",E221="General &amp; administrative"),1-Scenario_Assumptions!$B$6,1)))</f>
        <v/>
      </c>
      <c r="J221" s="11">
        <f>(I221-F221)*IF(D221="Revenue",1,-1)</f>
        <v/>
      </c>
    </row>
    <row r="222">
      <c r="A222" t="inlineStr">
        <is>
          <t>2026-11-01</t>
        </is>
      </c>
      <c r="B222" t="inlineStr">
        <is>
          <t>Forecast</t>
        </is>
      </c>
      <c r="C222" t="inlineStr">
        <is>
          <t>SMB</t>
        </is>
      </c>
      <c r="D222" t="inlineStr">
        <is>
          <t>Revenue</t>
        </is>
      </c>
      <c r="E222" t="inlineStr">
        <is>
          <t>Subscription revenue</t>
        </is>
      </c>
      <c r="F222" s="11" t="n">
        <v>3391005.15</v>
      </c>
      <c r="G222" s="11" t="n"/>
      <c r="H222" s="11" t="n">
        <v>3331662.56</v>
      </c>
      <c r="I222" s="11">
        <f>IF(B222="Actual",H222,IF(D222="Revenue",H222*(1+Scenario_Assumptions!$B$4),H222*(1+Scenario_Assumptions!$B$5)*IF(OR(E222="Product &amp; engineering",E222="General &amp; administrative"),1-Scenario_Assumptions!$B$6,1)))</f>
        <v/>
      </c>
      <c r="J222" s="11">
        <f>(I222-F222)*IF(D222="Revenue",1,-1)</f>
        <v/>
      </c>
    </row>
    <row r="223">
      <c r="A223" t="inlineStr">
        <is>
          <t>2026-11-01</t>
        </is>
      </c>
      <c r="B223" t="inlineStr">
        <is>
          <t>Forecast</t>
        </is>
      </c>
      <c r="C223" t="inlineStr">
        <is>
          <t>SMB</t>
        </is>
      </c>
      <c r="D223" t="inlineStr">
        <is>
          <t>Revenue</t>
        </is>
      </c>
      <c r="E223" t="inlineStr">
        <is>
          <t>Professional services revenue</t>
        </is>
      </c>
      <c r="F223" s="11" t="n">
        <v>762976.16</v>
      </c>
      <c r="G223" s="11" t="n"/>
      <c r="H223" s="11" t="n">
        <v>768316.99</v>
      </c>
      <c r="I223" s="11">
        <f>IF(B223="Actual",H223,IF(D223="Revenue",H223*(1+Scenario_Assumptions!$B$4),H223*(1+Scenario_Assumptions!$B$5)*IF(OR(E223="Product &amp; engineering",E223="General &amp; administrative"),1-Scenario_Assumptions!$B$6,1)))</f>
        <v/>
      </c>
      <c r="J223" s="11">
        <f>(I223-F223)*IF(D223="Revenue",1,-1)</f>
        <v/>
      </c>
    </row>
    <row r="224">
      <c r="A224" t="inlineStr">
        <is>
          <t>2026-11-01</t>
        </is>
      </c>
      <c r="B224" t="inlineStr">
        <is>
          <t>Forecast</t>
        </is>
      </c>
      <c r="C224" t="inlineStr">
        <is>
          <t>SMB</t>
        </is>
      </c>
      <c r="D224" t="inlineStr">
        <is>
          <t>COGS</t>
        </is>
      </c>
      <c r="E224" t="inlineStr">
        <is>
          <t>Cloud hosting</t>
        </is>
      </c>
      <c r="F224" s="11" t="n">
        <v>510000</v>
      </c>
      <c r="G224" s="11" t="n"/>
      <c r="H224" s="11" t="n">
        <v>529635</v>
      </c>
      <c r="I224" s="11">
        <f>IF(B224="Actual",H224,IF(D224="Revenue",H224*(1+Scenario_Assumptions!$B$4),H224*(1+Scenario_Assumptions!$B$5)*IF(OR(E224="Product &amp; engineering",E224="General &amp; administrative"),1-Scenario_Assumptions!$B$6,1)))</f>
        <v/>
      </c>
      <c r="J224" s="11">
        <f>(I224-F224)*IF(D224="Revenue",1,-1)</f>
        <v/>
      </c>
    </row>
    <row r="225">
      <c r="A225" t="inlineStr">
        <is>
          <t>2026-11-01</t>
        </is>
      </c>
      <c r="B225" t="inlineStr">
        <is>
          <t>Forecast</t>
        </is>
      </c>
      <c r="C225" t="inlineStr">
        <is>
          <t>SMB</t>
        </is>
      </c>
      <c r="D225" t="inlineStr">
        <is>
          <t>COGS</t>
        </is>
      </c>
      <c r="E225" t="inlineStr">
        <is>
          <t>Customer support delivery</t>
        </is>
      </c>
      <c r="F225" s="11" t="n">
        <v>245000</v>
      </c>
      <c r="G225" s="11" t="n"/>
      <c r="H225" s="11" t="n">
        <v>249287.5</v>
      </c>
      <c r="I225" s="11">
        <f>IF(B225="Actual",H225,IF(D225="Revenue",H225*(1+Scenario_Assumptions!$B$4),H225*(1+Scenario_Assumptions!$B$5)*IF(OR(E225="Product &amp; engineering",E225="General &amp; administrative"),1-Scenario_Assumptions!$B$6,1)))</f>
        <v/>
      </c>
      <c r="J225" s="11">
        <f>(I225-F225)*IF(D225="Revenue",1,-1)</f>
        <v/>
      </c>
    </row>
    <row r="226">
      <c r="A226" t="inlineStr">
        <is>
          <t>2026-11-01</t>
        </is>
      </c>
      <c r="B226" t="inlineStr">
        <is>
          <t>Forecast</t>
        </is>
      </c>
      <c r="C226" t="inlineStr">
        <is>
          <t>SMB</t>
        </is>
      </c>
      <c r="D226" t="inlineStr">
        <is>
          <t>Operating expense</t>
        </is>
      </c>
      <c r="E226" t="inlineStr">
        <is>
          <t>Sales &amp; marketing</t>
        </is>
      </c>
      <c r="F226" s="11" t="n">
        <v>780000</v>
      </c>
      <c r="G226" s="11" t="n"/>
      <c r="H226" s="11" t="n">
        <v>820950</v>
      </c>
      <c r="I226" s="11">
        <f>IF(B226="Actual",H226,IF(D226="Revenue",H226*(1+Scenario_Assumptions!$B$4),H226*(1+Scenario_Assumptions!$B$5)*IF(OR(E226="Product &amp; engineering",E226="General &amp; administrative"),1-Scenario_Assumptions!$B$6,1)))</f>
        <v/>
      </c>
      <c r="J226" s="11">
        <f>(I226-F226)*IF(D226="Revenue",1,-1)</f>
        <v/>
      </c>
    </row>
    <row r="227">
      <c r="A227" t="inlineStr">
        <is>
          <t>2026-11-01</t>
        </is>
      </c>
      <c r="B227" t="inlineStr">
        <is>
          <t>Forecast</t>
        </is>
      </c>
      <c r="C227" t="inlineStr">
        <is>
          <t>SMB</t>
        </is>
      </c>
      <c r="D227" t="inlineStr">
        <is>
          <t>Operating expense</t>
        </is>
      </c>
      <c r="E227" t="inlineStr">
        <is>
          <t>Product &amp; engineering</t>
        </is>
      </c>
      <c r="F227" s="11" t="n">
        <v>1071800</v>
      </c>
      <c r="G227" s="11" t="n"/>
      <c r="H227" s="11" t="n">
        <v>1098059.1</v>
      </c>
      <c r="I227" s="11">
        <f>IF(B227="Actual",H227,IF(D227="Revenue",H227*(1+Scenario_Assumptions!$B$4),H227*(1+Scenario_Assumptions!$B$5)*IF(OR(E227="Product &amp; engineering",E227="General &amp; administrative"),1-Scenario_Assumptions!$B$6,1)))</f>
        <v/>
      </c>
      <c r="J227" s="11">
        <f>(I227-F227)*IF(D227="Revenue",1,-1)</f>
        <v/>
      </c>
    </row>
    <row r="228">
      <c r="A228" t="inlineStr">
        <is>
          <t>2026-11-01</t>
        </is>
      </c>
      <c r="B228" t="inlineStr">
        <is>
          <t>Forecast</t>
        </is>
      </c>
      <c r="C228" t="inlineStr">
        <is>
          <t>SMB</t>
        </is>
      </c>
      <c r="D228" t="inlineStr">
        <is>
          <t>Operating expense</t>
        </is>
      </c>
      <c r="E228" t="inlineStr">
        <is>
          <t>General &amp; administrative</t>
        </is>
      </c>
      <c r="F228" s="11" t="n">
        <v>430000</v>
      </c>
      <c r="G228" s="11" t="n"/>
      <c r="H228" s="11" t="n">
        <v>428495</v>
      </c>
      <c r="I228" s="11">
        <f>IF(B228="Actual",H228,IF(D228="Revenue",H228*(1+Scenario_Assumptions!$B$4),H228*(1+Scenario_Assumptions!$B$5)*IF(OR(E228="Product &amp; engineering",E228="General &amp; administrative"),1-Scenario_Assumptions!$B$6,1)))</f>
        <v/>
      </c>
      <c r="J228" s="11">
        <f>(I228-F228)*IF(D228="Revenue",1,-1)</f>
        <v/>
      </c>
    </row>
    <row r="229">
      <c r="A229" t="inlineStr">
        <is>
          <t>2026-11-01</t>
        </is>
      </c>
      <c r="B229" t="inlineStr">
        <is>
          <t>Forecast</t>
        </is>
      </c>
      <c r="C229" t="inlineStr">
        <is>
          <t>Customer Solutions</t>
        </is>
      </c>
      <c r="D229" t="inlineStr">
        <is>
          <t>Revenue</t>
        </is>
      </c>
      <c r="E229" t="inlineStr">
        <is>
          <t>Subscription revenue</t>
        </is>
      </c>
      <c r="F229" s="11" t="n">
        <v>2373703.61</v>
      </c>
      <c r="G229" s="11" t="n"/>
      <c r="H229" s="11" t="n">
        <v>2332163.8</v>
      </c>
      <c r="I229" s="11">
        <f>IF(B229="Actual",H229,IF(D229="Revenue",H229*(1+Scenario_Assumptions!$B$4),H229*(1+Scenario_Assumptions!$B$5)*IF(OR(E229="Product &amp; engineering",E229="General &amp; administrative"),1-Scenario_Assumptions!$B$6,1)))</f>
        <v/>
      </c>
      <c r="J229" s="11">
        <f>(I229-F229)*IF(D229="Revenue",1,-1)</f>
        <v/>
      </c>
    </row>
    <row r="230">
      <c r="A230" t="inlineStr">
        <is>
          <t>2026-11-01</t>
        </is>
      </c>
      <c r="B230" t="inlineStr">
        <is>
          <t>Forecast</t>
        </is>
      </c>
      <c r="C230" t="inlineStr">
        <is>
          <t>Customer Solutions</t>
        </is>
      </c>
      <c r="D230" t="inlineStr">
        <is>
          <t>Revenue</t>
        </is>
      </c>
      <c r="E230" t="inlineStr">
        <is>
          <t>Professional services revenue</t>
        </is>
      </c>
      <c r="F230" s="11" t="n">
        <v>534083.3100000001</v>
      </c>
      <c r="G230" s="11" t="n"/>
      <c r="H230" s="11" t="n">
        <v>537821.9</v>
      </c>
      <c r="I230" s="11">
        <f>IF(B230="Actual",H230,IF(D230="Revenue",H230*(1+Scenario_Assumptions!$B$4),H230*(1+Scenario_Assumptions!$B$5)*IF(OR(E230="Product &amp; engineering",E230="General &amp; administrative"),1-Scenario_Assumptions!$B$6,1)))</f>
        <v/>
      </c>
      <c r="J230" s="11">
        <f>(I230-F230)*IF(D230="Revenue",1,-1)</f>
        <v/>
      </c>
    </row>
    <row r="231">
      <c r="A231" t="inlineStr">
        <is>
          <t>2026-11-01</t>
        </is>
      </c>
      <c r="B231" t="inlineStr">
        <is>
          <t>Forecast</t>
        </is>
      </c>
      <c r="C231" t="inlineStr">
        <is>
          <t>Customer Solutions</t>
        </is>
      </c>
      <c r="D231" t="inlineStr">
        <is>
          <t>COGS</t>
        </is>
      </c>
      <c r="E231" t="inlineStr">
        <is>
          <t>Cloud hosting</t>
        </is>
      </c>
      <c r="F231" s="11" t="n">
        <v>357000</v>
      </c>
      <c r="G231" s="11" t="n"/>
      <c r="H231" s="11" t="n">
        <v>370744.5</v>
      </c>
      <c r="I231" s="11">
        <f>IF(B231="Actual",H231,IF(D231="Revenue",H231*(1+Scenario_Assumptions!$B$4),H231*(1+Scenario_Assumptions!$B$5)*IF(OR(E231="Product &amp; engineering",E231="General &amp; administrative"),1-Scenario_Assumptions!$B$6,1)))</f>
        <v/>
      </c>
      <c r="J231" s="11">
        <f>(I231-F231)*IF(D231="Revenue",1,-1)</f>
        <v/>
      </c>
    </row>
    <row r="232">
      <c r="A232" t="inlineStr">
        <is>
          <t>2026-11-01</t>
        </is>
      </c>
      <c r="B232" t="inlineStr">
        <is>
          <t>Forecast</t>
        </is>
      </c>
      <c r="C232" t="inlineStr">
        <is>
          <t>Customer Solutions</t>
        </is>
      </c>
      <c r="D232" t="inlineStr">
        <is>
          <t>COGS</t>
        </is>
      </c>
      <c r="E232" t="inlineStr">
        <is>
          <t>Customer support delivery</t>
        </is>
      </c>
      <c r="F232" s="11" t="n">
        <v>171500</v>
      </c>
      <c r="G232" s="11" t="n"/>
      <c r="H232" s="11" t="n">
        <v>174501.25</v>
      </c>
      <c r="I232" s="11">
        <f>IF(B232="Actual",H232,IF(D232="Revenue",H232*(1+Scenario_Assumptions!$B$4),H232*(1+Scenario_Assumptions!$B$5)*IF(OR(E232="Product &amp; engineering",E232="General &amp; administrative"),1-Scenario_Assumptions!$B$6,1)))</f>
        <v/>
      </c>
      <c r="J232" s="11">
        <f>(I232-F232)*IF(D232="Revenue",1,-1)</f>
        <v/>
      </c>
    </row>
    <row r="233">
      <c r="A233" t="inlineStr">
        <is>
          <t>2026-11-01</t>
        </is>
      </c>
      <c r="B233" t="inlineStr">
        <is>
          <t>Forecast</t>
        </is>
      </c>
      <c r="C233" t="inlineStr">
        <is>
          <t>Customer Solutions</t>
        </is>
      </c>
      <c r="D233" t="inlineStr">
        <is>
          <t>Operating expense</t>
        </is>
      </c>
      <c r="E233" t="inlineStr">
        <is>
          <t>Sales &amp; marketing</t>
        </is>
      </c>
      <c r="F233" s="11" t="n">
        <v>546000</v>
      </c>
      <c r="G233" s="11" t="n"/>
      <c r="H233" s="11" t="n">
        <v>574665</v>
      </c>
      <c r="I233" s="11">
        <f>IF(B233="Actual",H233,IF(D233="Revenue",H233*(1+Scenario_Assumptions!$B$4),H233*(1+Scenario_Assumptions!$B$5)*IF(OR(E233="Product &amp; engineering",E233="General &amp; administrative"),1-Scenario_Assumptions!$B$6,1)))</f>
        <v/>
      </c>
      <c r="J233" s="11">
        <f>(I233-F233)*IF(D233="Revenue",1,-1)</f>
        <v/>
      </c>
    </row>
    <row r="234">
      <c r="A234" t="inlineStr">
        <is>
          <t>2026-11-01</t>
        </is>
      </c>
      <c r="B234" t="inlineStr">
        <is>
          <t>Forecast</t>
        </is>
      </c>
      <c r="C234" t="inlineStr">
        <is>
          <t>Customer Solutions</t>
        </is>
      </c>
      <c r="D234" t="inlineStr">
        <is>
          <t>Operating expense</t>
        </is>
      </c>
      <c r="E234" t="inlineStr">
        <is>
          <t>Product &amp; engineering</t>
        </is>
      </c>
      <c r="F234" s="11" t="n">
        <v>750260</v>
      </c>
      <c r="G234" s="11" t="n"/>
      <c r="H234" s="11" t="n">
        <v>768641.37</v>
      </c>
      <c r="I234" s="11">
        <f>IF(B234="Actual",H234,IF(D234="Revenue",H234*(1+Scenario_Assumptions!$B$4),H234*(1+Scenario_Assumptions!$B$5)*IF(OR(E234="Product &amp; engineering",E234="General &amp; administrative"),1-Scenario_Assumptions!$B$6,1)))</f>
        <v/>
      </c>
      <c r="J234" s="11">
        <f>(I234-F234)*IF(D234="Revenue",1,-1)</f>
        <v/>
      </c>
    </row>
    <row r="235">
      <c r="A235" t="inlineStr">
        <is>
          <t>2026-11-01</t>
        </is>
      </c>
      <c r="B235" t="inlineStr">
        <is>
          <t>Forecast</t>
        </is>
      </c>
      <c r="C235" t="inlineStr">
        <is>
          <t>Customer Solutions</t>
        </is>
      </c>
      <c r="D235" t="inlineStr">
        <is>
          <t>Operating expense</t>
        </is>
      </c>
      <c r="E235" t="inlineStr">
        <is>
          <t>General &amp; administrative</t>
        </is>
      </c>
      <c r="F235" s="11" t="n">
        <v>301000</v>
      </c>
      <c r="G235" s="11" t="n"/>
      <c r="H235" s="11" t="n">
        <v>299946.5</v>
      </c>
      <c r="I235" s="11">
        <f>IF(B235="Actual",H235,IF(D235="Revenue",H235*(1+Scenario_Assumptions!$B$4),H235*(1+Scenario_Assumptions!$B$5)*IF(OR(E235="Product &amp; engineering",E235="General &amp; administrative"),1-Scenario_Assumptions!$B$6,1)))</f>
        <v/>
      </c>
      <c r="J235" s="11">
        <f>(I235-F235)*IF(D235="Revenue",1,-1)</f>
        <v/>
      </c>
    </row>
    <row r="236">
      <c r="A236" t="inlineStr">
        <is>
          <t>2026-12-01</t>
        </is>
      </c>
      <c r="B236" t="inlineStr">
        <is>
          <t>Forecast</t>
        </is>
      </c>
      <c r="C236" t="inlineStr">
        <is>
          <t>Enterprise</t>
        </is>
      </c>
      <c r="D236" t="inlineStr">
        <is>
          <t>Revenue</t>
        </is>
      </c>
      <c r="E236" t="inlineStr">
        <is>
          <t>Subscription revenue</t>
        </is>
      </c>
      <c r="F236" s="11" t="n">
        <v>5662800</v>
      </c>
      <c r="G236" s="11" t="n"/>
      <c r="H236" s="11" t="n">
        <v>5563701</v>
      </c>
      <c r="I236" s="11">
        <f>IF(B236="Actual",H236,IF(D236="Revenue",H236*(1+Scenario_Assumptions!$B$4),H236*(1+Scenario_Assumptions!$B$5)*IF(OR(E236="Product &amp; engineering",E236="General &amp; administrative"),1-Scenario_Assumptions!$B$6,1)))</f>
        <v/>
      </c>
      <c r="J236" s="11">
        <f>(I236-F236)*IF(D236="Revenue",1,-1)</f>
        <v/>
      </c>
    </row>
    <row r="237">
      <c r="A237" t="inlineStr">
        <is>
          <t>2026-12-01</t>
        </is>
      </c>
      <c r="B237" t="inlineStr">
        <is>
          <t>Forecast</t>
        </is>
      </c>
      <c r="C237" t="inlineStr">
        <is>
          <t>Enterprise</t>
        </is>
      </c>
      <c r="D237" t="inlineStr">
        <is>
          <t>Revenue</t>
        </is>
      </c>
      <c r="E237" t="inlineStr">
        <is>
          <t>Professional services revenue</t>
        </is>
      </c>
      <c r="F237" s="11" t="n">
        <v>1274130</v>
      </c>
      <c r="G237" s="11" t="n"/>
      <c r="H237" s="11" t="n">
        <v>1283048.91</v>
      </c>
      <c r="I237" s="11">
        <f>IF(B237="Actual",H237,IF(D237="Revenue",H237*(1+Scenario_Assumptions!$B$4),H237*(1+Scenario_Assumptions!$B$5)*IF(OR(E237="Product &amp; engineering",E237="General &amp; administrative"),1-Scenario_Assumptions!$B$6,1)))</f>
        <v/>
      </c>
      <c r="J237" s="11">
        <f>(I237-F237)*IF(D237="Revenue",1,-1)</f>
        <v/>
      </c>
    </row>
    <row r="238">
      <c r="A238" t="inlineStr">
        <is>
          <t>2026-12-01</t>
        </is>
      </c>
      <c r="B238" t="inlineStr">
        <is>
          <t>Forecast</t>
        </is>
      </c>
      <c r="C238" t="inlineStr">
        <is>
          <t>Enterprise</t>
        </is>
      </c>
      <c r="D238" t="inlineStr">
        <is>
          <t>COGS</t>
        </is>
      </c>
      <c r="E238" t="inlineStr">
        <is>
          <t>Cloud hosting</t>
        </is>
      </c>
      <c r="F238" s="11" t="n">
        <v>841500</v>
      </c>
      <c r="G238" s="11" t="n"/>
      <c r="H238" s="11" t="n">
        <v>873897.75</v>
      </c>
      <c r="I238" s="11">
        <f>IF(B238="Actual",H238,IF(D238="Revenue",H238*(1+Scenario_Assumptions!$B$4),H238*(1+Scenario_Assumptions!$B$5)*IF(OR(E238="Product &amp; engineering",E238="General &amp; administrative"),1-Scenario_Assumptions!$B$6,1)))</f>
        <v/>
      </c>
      <c r="J238" s="11">
        <f>(I238-F238)*IF(D238="Revenue",1,-1)</f>
        <v/>
      </c>
    </row>
    <row r="239">
      <c r="A239" t="inlineStr">
        <is>
          <t>2026-12-01</t>
        </is>
      </c>
      <c r="B239" t="inlineStr">
        <is>
          <t>Forecast</t>
        </is>
      </c>
      <c r="C239" t="inlineStr">
        <is>
          <t>Enterprise</t>
        </is>
      </c>
      <c r="D239" t="inlineStr">
        <is>
          <t>COGS</t>
        </is>
      </c>
      <c r="E239" t="inlineStr">
        <is>
          <t>Customer support delivery</t>
        </is>
      </c>
      <c r="F239" s="11" t="n">
        <v>404250</v>
      </c>
      <c r="G239" s="11" t="n"/>
      <c r="H239" s="11" t="n">
        <v>411324.38</v>
      </c>
      <c r="I239" s="11">
        <f>IF(B239="Actual",H239,IF(D239="Revenue",H239*(1+Scenario_Assumptions!$B$4),H239*(1+Scenario_Assumptions!$B$5)*IF(OR(E239="Product &amp; engineering",E239="General &amp; administrative"),1-Scenario_Assumptions!$B$6,1)))</f>
        <v/>
      </c>
      <c r="J239" s="11">
        <f>(I239-F239)*IF(D239="Revenue",1,-1)</f>
        <v/>
      </c>
    </row>
    <row r="240">
      <c r="A240" t="inlineStr">
        <is>
          <t>2026-12-01</t>
        </is>
      </c>
      <c r="B240" t="inlineStr">
        <is>
          <t>Forecast</t>
        </is>
      </c>
      <c r="C240" t="inlineStr">
        <is>
          <t>Enterprise</t>
        </is>
      </c>
      <c r="D240" t="inlineStr">
        <is>
          <t>Operating expense</t>
        </is>
      </c>
      <c r="E240" t="inlineStr">
        <is>
          <t>Sales &amp; marketing</t>
        </is>
      </c>
      <c r="F240" s="11" t="n">
        <v>1287000</v>
      </c>
      <c r="G240" s="11" t="n"/>
      <c r="H240" s="11" t="n">
        <v>1354567.5</v>
      </c>
      <c r="I240" s="11">
        <f>IF(B240="Actual",H240,IF(D240="Revenue",H240*(1+Scenario_Assumptions!$B$4),H240*(1+Scenario_Assumptions!$B$5)*IF(OR(E240="Product &amp; engineering",E240="General &amp; administrative"),1-Scenario_Assumptions!$B$6,1)))</f>
        <v/>
      </c>
      <c r="J240" s="11">
        <f>(I240-F240)*IF(D240="Revenue",1,-1)</f>
        <v/>
      </c>
    </row>
    <row r="241">
      <c r="A241" t="inlineStr">
        <is>
          <t>2026-12-01</t>
        </is>
      </c>
      <c r="B241" t="inlineStr">
        <is>
          <t>Forecast</t>
        </is>
      </c>
      <c r="C241" t="inlineStr">
        <is>
          <t>Enterprise</t>
        </is>
      </c>
      <c r="D241" t="inlineStr">
        <is>
          <t>Operating expense</t>
        </is>
      </c>
      <c r="E241" t="inlineStr">
        <is>
          <t>Product &amp; engineering</t>
        </is>
      </c>
      <c r="F241" s="11" t="n">
        <v>1791240</v>
      </c>
      <c r="G241" s="11" t="n"/>
      <c r="H241" s="11" t="n">
        <v>1835125.38</v>
      </c>
      <c r="I241" s="11">
        <f>IF(B241="Actual",H241,IF(D241="Revenue",H241*(1+Scenario_Assumptions!$B$4),H241*(1+Scenario_Assumptions!$B$5)*IF(OR(E241="Product &amp; engineering",E241="General &amp; administrative"),1-Scenario_Assumptions!$B$6,1)))</f>
        <v/>
      </c>
      <c r="J241" s="11">
        <f>(I241-F241)*IF(D241="Revenue",1,-1)</f>
        <v/>
      </c>
    </row>
    <row r="242">
      <c r="A242" t="inlineStr">
        <is>
          <t>2026-12-01</t>
        </is>
      </c>
      <c r="B242" t="inlineStr">
        <is>
          <t>Forecast</t>
        </is>
      </c>
      <c r="C242" t="inlineStr">
        <is>
          <t>Enterprise</t>
        </is>
      </c>
      <c r="D242" t="inlineStr">
        <is>
          <t>Operating expense</t>
        </is>
      </c>
      <c r="E242" t="inlineStr">
        <is>
          <t>General &amp; administrative</t>
        </is>
      </c>
      <c r="F242" s="11" t="n">
        <v>709500</v>
      </c>
      <c r="G242" s="11" t="n"/>
      <c r="H242" s="11" t="n">
        <v>707016.75</v>
      </c>
      <c r="I242" s="11">
        <f>IF(B242="Actual",H242,IF(D242="Revenue",H242*(1+Scenario_Assumptions!$B$4),H242*(1+Scenario_Assumptions!$B$5)*IF(OR(E242="Product &amp; engineering",E242="General &amp; administrative"),1-Scenario_Assumptions!$B$6,1)))</f>
        <v/>
      </c>
      <c r="J242" s="11">
        <f>(I242-F242)*IF(D242="Revenue",1,-1)</f>
        <v/>
      </c>
    </row>
    <row r="243">
      <c r="A243" t="inlineStr">
        <is>
          <t>2026-12-01</t>
        </is>
      </c>
      <c r="B243" t="inlineStr">
        <is>
          <t>Forecast</t>
        </is>
      </c>
      <c r="C243" t="inlineStr">
        <is>
          <t>SMB</t>
        </is>
      </c>
      <c r="D243" t="inlineStr">
        <is>
          <t>Revenue</t>
        </is>
      </c>
      <c r="E243" t="inlineStr">
        <is>
          <t>Subscription revenue</t>
        </is>
      </c>
      <c r="F243" s="11" t="n">
        <v>3432000</v>
      </c>
      <c r="G243" s="11" t="n"/>
      <c r="H243" s="11" t="n">
        <v>3371940</v>
      </c>
      <c r="I243" s="11">
        <f>IF(B243="Actual",H243,IF(D243="Revenue",H243*(1+Scenario_Assumptions!$B$4),H243*(1+Scenario_Assumptions!$B$5)*IF(OR(E243="Product &amp; engineering",E243="General &amp; administrative"),1-Scenario_Assumptions!$B$6,1)))</f>
        <v/>
      </c>
      <c r="J243" s="11">
        <f>(I243-F243)*IF(D243="Revenue",1,-1)</f>
        <v/>
      </c>
    </row>
    <row r="244">
      <c r="A244" t="inlineStr">
        <is>
          <t>2026-12-01</t>
        </is>
      </c>
      <c r="B244" t="inlineStr">
        <is>
          <t>Forecast</t>
        </is>
      </c>
      <c r="C244" t="inlineStr">
        <is>
          <t>SMB</t>
        </is>
      </c>
      <c r="D244" t="inlineStr">
        <is>
          <t>Revenue</t>
        </is>
      </c>
      <c r="E244" t="inlineStr">
        <is>
          <t>Professional services revenue</t>
        </is>
      </c>
      <c r="F244" s="11" t="n">
        <v>772200</v>
      </c>
      <c r="G244" s="11" t="n"/>
      <c r="H244" s="11" t="n">
        <v>777605.4</v>
      </c>
      <c r="I244" s="11">
        <f>IF(B244="Actual",H244,IF(D244="Revenue",H244*(1+Scenario_Assumptions!$B$4),H244*(1+Scenario_Assumptions!$B$5)*IF(OR(E244="Product &amp; engineering",E244="General &amp; administrative"),1-Scenario_Assumptions!$B$6,1)))</f>
        <v/>
      </c>
      <c r="J244" s="11">
        <f>(I244-F244)*IF(D244="Revenue",1,-1)</f>
        <v/>
      </c>
    </row>
    <row r="245">
      <c r="A245" t="inlineStr">
        <is>
          <t>2026-12-01</t>
        </is>
      </c>
      <c r="B245" t="inlineStr">
        <is>
          <t>Forecast</t>
        </is>
      </c>
      <c r="C245" t="inlineStr">
        <is>
          <t>SMB</t>
        </is>
      </c>
      <c r="D245" t="inlineStr">
        <is>
          <t>COGS</t>
        </is>
      </c>
      <c r="E245" t="inlineStr">
        <is>
          <t>Cloud hosting</t>
        </is>
      </c>
      <c r="F245" s="11" t="n">
        <v>510000</v>
      </c>
      <c r="G245" s="11" t="n"/>
      <c r="H245" s="11" t="n">
        <v>529635</v>
      </c>
      <c r="I245" s="11">
        <f>IF(B245="Actual",H245,IF(D245="Revenue",H245*(1+Scenario_Assumptions!$B$4),H245*(1+Scenario_Assumptions!$B$5)*IF(OR(E245="Product &amp; engineering",E245="General &amp; administrative"),1-Scenario_Assumptions!$B$6,1)))</f>
        <v/>
      </c>
      <c r="J245" s="11">
        <f>(I245-F245)*IF(D245="Revenue",1,-1)</f>
        <v/>
      </c>
    </row>
    <row r="246">
      <c r="A246" t="inlineStr">
        <is>
          <t>2026-12-01</t>
        </is>
      </c>
      <c r="B246" t="inlineStr">
        <is>
          <t>Forecast</t>
        </is>
      </c>
      <c r="C246" t="inlineStr">
        <is>
          <t>SMB</t>
        </is>
      </c>
      <c r="D246" t="inlineStr">
        <is>
          <t>COGS</t>
        </is>
      </c>
      <c r="E246" t="inlineStr">
        <is>
          <t>Customer support delivery</t>
        </is>
      </c>
      <c r="F246" s="11" t="n">
        <v>245000</v>
      </c>
      <c r="G246" s="11" t="n"/>
      <c r="H246" s="11" t="n">
        <v>249287.5</v>
      </c>
      <c r="I246" s="11">
        <f>IF(B246="Actual",H246,IF(D246="Revenue",H246*(1+Scenario_Assumptions!$B$4),H246*(1+Scenario_Assumptions!$B$5)*IF(OR(E246="Product &amp; engineering",E246="General &amp; administrative"),1-Scenario_Assumptions!$B$6,1)))</f>
        <v/>
      </c>
      <c r="J246" s="11">
        <f>(I246-F246)*IF(D246="Revenue",1,-1)</f>
        <v/>
      </c>
    </row>
    <row r="247">
      <c r="A247" t="inlineStr">
        <is>
          <t>2026-12-01</t>
        </is>
      </c>
      <c r="B247" t="inlineStr">
        <is>
          <t>Forecast</t>
        </is>
      </c>
      <c r="C247" t="inlineStr">
        <is>
          <t>SMB</t>
        </is>
      </c>
      <c r="D247" t="inlineStr">
        <is>
          <t>Operating expense</t>
        </is>
      </c>
      <c r="E247" t="inlineStr">
        <is>
          <t>Sales &amp; marketing</t>
        </is>
      </c>
      <c r="F247" s="11" t="n">
        <v>780000</v>
      </c>
      <c r="G247" s="11" t="n"/>
      <c r="H247" s="11" t="n">
        <v>820950</v>
      </c>
      <c r="I247" s="11">
        <f>IF(B247="Actual",H247,IF(D247="Revenue",H247*(1+Scenario_Assumptions!$B$4),H247*(1+Scenario_Assumptions!$B$5)*IF(OR(E247="Product &amp; engineering",E247="General &amp; administrative"),1-Scenario_Assumptions!$B$6,1)))</f>
        <v/>
      </c>
      <c r="J247" s="11">
        <f>(I247-F247)*IF(D247="Revenue",1,-1)</f>
        <v/>
      </c>
    </row>
    <row r="248">
      <c r="A248" t="inlineStr">
        <is>
          <t>2026-12-01</t>
        </is>
      </c>
      <c r="B248" t="inlineStr">
        <is>
          <t>Forecast</t>
        </is>
      </c>
      <c r="C248" t="inlineStr">
        <is>
          <t>SMB</t>
        </is>
      </c>
      <c r="D248" t="inlineStr">
        <is>
          <t>Operating expense</t>
        </is>
      </c>
      <c r="E248" t="inlineStr">
        <is>
          <t>Product &amp; engineering</t>
        </is>
      </c>
      <c r="F248" s="11" t="n">
        <v>1085600</v>
      </c>
      <c r="G248" s="11" t="n"/>
      <c r="H248" s="11" t="n">
        <v>1112197.2</v>
      </c>
      <c r="I248" s="11">
        <f>IF(B248="Actual",H248,IF(D248="Revenue",H248*(1+Scenario_Assumptions!$B$4),H248*(1+Scenario_Assumptions!$B$5)*IF(OR(E248="Product &amp; engineering",E248="General &amp; administrative"),1-Scenario_Assumptions!$B$6,1)))</f>
        <v/>
      </c>
      <c r="J248" s="11">
        <f>(I248-F248)*IF(D248="Revenue",1,-1)</f>
        <v/>
      </c>
    </row>
    <row r="249">
      <c r="A249" t="inlineStr">
        <is>
          <t>2026-12-01</t>
        </is>
      </c>
      <c r="B249" t="inlineStr">
        <is>
          <t>Forecast</t>
        </is>
      </c>
      <c r="C249" t="inlineStr">
        <is>
          <t>SMB</t>
        </is>
      </c>
      <c r="D249" t="inlineStr">
        <is>
          <t>Operating expense</t>
        </is>
      </c>
      <c r="E249" t="inlineStr">
        <is>
          <t>General &amp; administrative</t>
        </is>
      </c>
      <c r="F249" s="11" t="n">
        <v>430000</v>
      </c>
      <c r="G249" s="11" t="n"/>
      <c r="H249" s="11" t="n">
        <v>428495</v>
      </c>
      <c r="I249" s="11">
        <f>IF(B249="Actual",H249,IF(D249="Revenue",H249*(1+Scenario_Assumptions!$B$4),H249*(1+Scenario_Assumptions!$B$5)*IF(OR(E249="Product &amp; engineering",E249="General &amp; administrative"),1-Scenario_Assumptions!$B$6,1)))</f>
        <v/>
      </c>
      <c r="J249" s="11">
        <f>(I249-F249)*IF(D249="Revenue",1,-1)</f>
        <v/>
      </c>
    </row>
    <row r="250">
      <c r="A250" t="inlineStr">
        <is>
          <t>2026-12-01</t>
        </is>
      </c>
      <c r="B250" t="inlineStr">
        <is>
          <t>Forecast</t>
        </is>
      </c>
      <c r="C250" t="inlineStr">
        <is>
          <t>Customer Solutions</t>
        </is>
      </c>
      <c r="D250" t="inlineStr">
        <is>
          <t>Revenue</t>
        </is>
      </c>
      <c r="E250" t="inlineStr">
        <is>
          <t>Subscription revenue</t>
        </is>
      </c>
      <c r="F250" s="11" t="n">
        <v>2402400</v>
      </c>
      <c r="G250" s="11" t="n"/>
      <c r="H250" s="11" t="n">
        <v>2360358</v>
      </c>
      <c r="I250" s="11">
        <f>IF(B250="Actual",H250,IF(D250="Revenue",H250*(1+Scenario_Assumptions!$B$4),H250*(1+Scenario_Assumptions!$B$5)*IF(OR(E250="Product &amp; engineering",E250="General &amp; administrative"),1-Scenario_Assumptions!$B$6,1)))</f>
        <v/>
      </c>
      <c r="J250" s="11">
        <f>(I250-F250)*IF(D250="Revenue",1,-1)</f>
        <v/>
      </c>
    </row>
    <row r="251">
      <c r="A251" t="inlineStr">
        <is>
          <t>2026-12-01</t>
        </is>
      </c>
      <c r="B251" t="inlineStr">
        <is>
          <t>Forecast</t>
        </is>
      </c>
      <c r="C251" t="inlineStr">
        <is>
          <t>Customer Solutions</t>
        </is>
      </c>
      <c r="D251" t="inlineStr">
        <is>
          <t>Revenue</t>
        </is>
      </c>
      <c r="E251" t="inlineStr">
        <is>
          <t>Professional services revenue</t>
        </is>
      </c>
      <c r="F251" s="11" t="n">
        <v>540540</v>
      </c>
      <c r="G251" s="11" t="n"/>
      <c r="H251" s="11" t="n">
        <v>544323.78</v>
      </c>
      <c r="I251" s="11">
        <f>IF(B251="Actual",H251,IF(D251="Revenue",H251*(1+Scenario_Assumptions!$B$4),H251*(1+Scenario_Assumptions!$B$5)*IF(OR(E251="Product &amp; engineering",E251="General &amp; administrative"),1-Scenario_Assumptions!$B$6,1)))</f>
        <v/>
      </c>
      <c r="J251" s="11">
        <f>(I251-F251)*IF(D251="Revenue",1,-1)</f>
        <v/>
      </c>
    </row>
    <row r="252">
      <c r="A252" t="inlineStr">
        <is>
          <t>2026-12-01</t>
        </is>
      </c>
      <c r="B252" t="inlineStr">
        <is>
          <t>Forecast</t>
        </is>
      </c>
      <c r="C252" t="inlineStr">
        <is>
          <t>Customer Solutions</t>
        </is>
      </c>
      <c r="D252" t="inlineStr">
        <is>
          <t>COGS</t>
        </is>
      </c>
      <c r="E252" t="inlineStr">
        <is>
          <t>Cloud hosting</t>
        </is>
      </c>
      <c r="F252" s="11" t="n">
        <v>357000</v>
      </c>
      <c r="G252" s="11" t="n"/>
      <c r="H252" s="11" t="n">
        <v>370744.5</v>
      </c>
      <c r="I252" s="11">
        <f>IF(B252="Actual",H252,IF(D252="Revenue",H252*(1+Scenario_Assumptions!$B$4),H252*(1+Scenario_Assumptions!$B$5)*IF(OR(E252="Product &amp; engineering",E252="General &amp; administrative"),1-Scenario_Assumptions!$B$6,1)))</f>
        <v/>
      </c>
      <c r="J252" s="11">
        <f>(I252-F252)*IF(D252="Revenue",1,-1)</f>
        <v/>
      </c>
    </row>
    <row r="253">
      <c r="A253" t="inlineStr">
        <is>
          <t>2026-12-01</t>
        </is>
      </c>
      <c r="B253" t="inlineStr">
        <is>
          <t>Forecast</t>
        </is>
      </c>
      <c r="C253" t="inlineStr">
        <is>
          <t>Customer Solutions</t>
        </is>
      </c>
      <c r="D253" t="inlineStr">
        <is>
          <t>COGS</t>
        </is>
      </c>
      <c r="E253" t="inlineStr">
        <is>
          <t>Customer support delivery</t>
        </is>
      </c>
      <c r="F253" s="11" t="n">
        <v>171500</v>
      </c>
      <c r="G253" s="11" t="n"/>
      <c r="H253" s="11" t="n">
        <v>174501.25</v>
      </c>
      <c r="I253" s="11">
        <f>IF(B253="Actual",H253,IF(D253="Revenue",H253*(1+Scenario_Assumptions!$B$4),H253*(1+Scenario_Assumptions!$B$5)*IF(OR(E253="Product &amp; engineering",E253="General &amp; administrative"),1-Scenario_Assumptions!$B$6,1)))</f>
        <v/>
      </c>
      <c r="J253" s="11">
        <f>(I253-F253)*IF(D253="Revenue",1,-1)</f>
        <v/>
      </c>
    </row>
    <row r="254">
      <c r="A254" t="inlineStr">
        <is>
          <t>2026-12-01</t>
        </is>
      </c>
      <c r="B254" t="inlineStr">
        <is>
          <t>Forecast</t>
        </is>
      </c>
      <c r="C254" t="inlineStr">
        <is>
          <t>Customer Solutions</t>
        </is>
      </c>
      <c r="D254" t="inlineStr">
        <is>
          <t>Operating expense</t>
        </is>
      </c>
      <c r="E254" t="inlineStr">
        <is>
          <t>Sales &amp; marketing</t>
        </is>
      </c>
      <c r="F254" s="11" t="n">
        <v>546000</v>
      </c>
      <c r="G254" s="11" t="n"/>
      <c r="H254" s="11" t="n">
        <v>574665</v>
      </c>
      <c r="I254" s="11">
        <f>IF(B254="Actual",H254,IF(D254="Revenue",H254*(1+Scenario_Assumptions!$B$4),H254*(1+Scenario_Assumptions!$B$5)*IF(OR(E254="Product &amp; engineering",E254="General &amp; administrative"),1-Scenario_Assumptions!$B$6,1)))</f>
        <v/>
      </c>
      <c r="J254" s="11">
        <f>(I254-F254)*IF(D254="Revenue",1,-1)</f>
        <v/>
      </c>
    </row>
    <row r="255">
      <c r="A255" t="inlineStr">
        <is>
          <t>2026-12-01</t>
        </is>
      </c>
      <c r="B255" t="inlineStr">
        <is>
          <t>Forecast</t>
        </is>
      </c>
      <c r="C255" t="inlineStr">
        <is>
          <t>Customer Solutions</t>
        </is>
      </c>
      <c r="D255" t="inlineStr">
        <is>
          <t>Operating expense</t>
        </is>
      </c>
      <c r="E255" t="inlineStr">
        <is>
          <t>Product &amp; engineering</t>
        </is>
      </c>
      <c r="F255" s="11" t="n">
        <v>759920</v>
      </c>
      <c r="G255" s="11" t="n"/>
      <c r="H255" s="11" t="n">
        <v>778538.04</v>
      </c>
      <c r="I255" s="11">
        <f>IF(B255="Actual",H255,IF(D255="Revenue",H255*(1+Scenario_Assumptions!$B$4),H255*(1+Scenario_Assumptions!$B$5)*IF(OR(E255="Product &amp; engineering",E255="General &amp; administrative"),1-Scenario_Assumptions!$B$6,1)))</f>
        <v/>
      </c>
      <c r="J255" s="11">
        <f>(I255-F255)*IF(D255="Revenue",1,-1)</f>
        <v/>
      </c>
    </row>
    <row r="256">
      <c r="A256" t="inlineStr">
        <is>
          <t>2026-12-01</t>
        </is>
      </c>
      <c r="B256" t="inlineStr">
        <is>
          <t>Forecast</t>
        </is>
      </c>
      <c r="C256" t="inlineStr">
        <is>
          <t>Customer Solutions</t>
        </is>
      </c>
      <c r="D256" t="inlineStr">
        <is>
          <t>Operating expense</t>
        </is>
      </c>
      <c r="E256" t="inlineStr">
        <is>
          <t>General &amp; administrative</t>
        </is>
      </c>
      <c r="F256" s="11" t="n">
        <v>301000</v>
      </c>
      <c r="G256" s="11" t="n"/>
      <c r="H256" s="11" t="n">
        <v>299946.5</v>
      </c>
      <c r="I256" s="11">
        <f>IF(B256="Actual",H256,IF(D256="Revenue",H256*(1+Scenario_Assumptions!$B$4),H256*(1+Scenario_Assumptions!$B$5)*IF(OR(E256="Product &amp; engineering",E256="General &amp; administrative"),1-Scenario_Assumptions!$B$6,1)))</f>
        <v/>
      </c>
      <c r="J256" s="11">
        <f>(I256-F256)*IF(D256="Revenue",1,-1)</f>
        <v/>
      </c>
    </row>
  </sheetData>
  <autoFilter ref="A4:H256"/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</cols>
  <sheetData>
    <row r="1" ht="30" customHeight="1">
      <c r="A1" s="1" t="inlineStr">
        <is>
          <t>SYNTHETIC CORPORATE FP&amp;A DASHBOARD</t>
        </is>
      </c>
    </row>
    <row r="2" ht="32" customHeight="1">
      <c r="A2" s="2" t="inlineStr">
        <is>
          <t>Formula-driven annual plan and scenario view. Change assumptions to test revenue, inflation, and hiring timing.</t>
        </is>
      </c>
    </row>
    <row r="4">
      <c r="A4" s="5" t="inlineStr">
        <is>
          <t>Budget revenue</t>
        </is>
      </c>
      <c r="B4" s="16">
        <f>SUMIFS(Corporate_Plan!$F:$F,Corporate_Plan!$D:$D,"Revenue")</f>
        <v/>
      </c>
    </row>
    <row r="5">
      <c r="A5" s="5" t="inlineStr">
        <is>
          <t>Scenario revenue</t>
        </is>
      </c>
      <c r="B5" s="16">
        <f>SUMIFS(Corporate_Plan!$I:$I,Corporate_Plan!$D:$D,"Revenue")</f>
        <v/>
      </c>
    </row>
    <row r="6">
      <c r="A6" s="5" t="inlineStr">
        <is>
          <t>Budget costs</t>
        </is>
      </c>
      <c r="B6" s="16">
        <f>SUMIFS(Corporate_Plan!$F:$F,Corporate_Plan!$D:$D,"&lt;&gt;Revenue")</f>
        <v/>
      </c>
    </row>
    <row r="7">
      <c r="A7" s="5" t="inlineStr">
        <is>
          <t>Scenario costs</t>
        </is>
      </c>
      <c r="B7" s="16">
        <f>SUMIFS(Corporate_Plan!$I:$I,Corporate_Plan!$D:$D,"&lt;&gt;Revenue")</f>
        <v/>
      </c>
    </row>
    <row r="8">
      <c r="A8" s="5" t="inlineStr">
        <is>
          <t>Budget EBITDA</t>
        </is>
      </c>
      <c r="B8" s="16">
        <f>B4-B6</f>
        <v/>
      </c>
    </row>
    <row r="9">
      <c r="A9" s="5" t="inlineStr">
        <is>
          <t>Scenario EBITDA</t>
        </is>
      </c>
      <c r="B9" s="16">
        <f>B5-B7</f>
        <v/>
      </c>
    </row>
    <row r="10">
      <c r="A10" s="5" t="inlineStr">
        <is>
          <t>Scenario EBITDA margin</t>
        </is>
      </c>
      <c r="B10" s="17">
        <f>IFERROR(B9/B5,0)</f>
        <v/>
      </c>
    </row>
    <row r="13">
      <c r="A13" s="10" t="inlineStr">
        <is>
          <t>Month</t>
        </is>
      </c>
      <c r="B13" s="10" t="inlineStr">
        <is>
          <t>Budget EBITDA</t>
        </is>
      </c>
      <c r="C13" s="10" t="inlineStr">
        <is>
          <t>Base Forecast EBITDA</t>
        </is>
      </c>
    </row>
    <row r="14">
      <c r="A14" s="18" t="inlineStr">
        <is>
          <t>2026-01-01</t>
        </is>
      </c>
      <c r="B14" s="19" t="n">
        <v>3226800.4</v>
      </c>
      <c r="C14" s="19" t="n">
        <v>2615139.550000001</v>
      </c>
    </row>
    <row r="15">
      <c r="A15" s="18" t="inlineStr">
        <is>
          <t>2026-02-01</t>
        </is>
      </c>
      <c r="B15" s="19" t="n">
        <v>3604600</v>
      </c>
      <c r="C15" s="19" t="n">
        <v>2967120.420000002</v>
      </c>
    </row>
    <row r="16">
      <c r="A16" s="18" t="inlineStr">
        <is>
          <t>2026-03-01</t>
        </is>
      </c>
      <c r="B16" s="19" t="n">
        <v>3726602.6</v>
      </c>
      <c r="C16" s="19" t="n">
        <v>2993033.180000002</v>
      </c>
    </row>
    <row r="17">
      <c r="A17" s="18" t="inlineStr">
        <is>
          <t>2026-04-01</t>
        </is>
      </c>
      <c r="B17" s="19" t="n">
        <v>3741950</v>
      </c>
      <c r="C17" s="19" t="n">
        <v>3047648.690000001</v>
      </c>
    </row>
    <row r="18">
      <c r="A18" s="18" t="inlineStr">
        <is>
          <t>2026-05-01</t>
        </is>
      </c>
      <c r="B18" s="19" t="n">
        <v>3634142.6</v>
      </c>
      <c r="C18" s="19" t="n">
        <v>2633309.93</v>
      </c>
    </row>
    <row r="19">
      <c r="A19" s="18" t="inlineStr">
        <is>
          <t>2026-06-01</t>
        </is>
      </c>
      <c r="B19" s="19" t="n">
        <v>3419680</v>
      </c>
      <c r="C19" s="19" t="n">
        <v>2098470.389999997</v>
      </c>
    </row>
    <row r="20">
      <c r="A20" s="18" t="inlineStr">
        <is>
          <t>2026-07-01</t>
        </is>
      </c>
      <c r="B20" s="19" t="n">
        <v>2943872.799999999</v>
      </c>
      <c r="C20" s="19" t="n">
        <v>2429549.940000003</v>
      </c>
    </row>
    <row r="21">
      <c r="A21" s="18" t="inlineStr">
        <is>
          <t>2026-08-01</t>
        </is>
      </c>
      <c r="B21" s="19" t="n">
        <v>2867600</v>
      </c>
      <c r="C21" s="19" t="n">
        <v>2403020.32</v>
      </c>
    </row>
    <row r="22">
      <c r="A22" s="18" t="inlineStr">
        <is>
          <t>2026-09-01</t>
        </is>
      </c>
      <c r="B22" s="19" t="n">
        <v>2653137.4</v>
      </c>
      <c r="C22" s="19" t="n">
        <v>2189612.120000003</v>
      </c>
    </row>
    <row r="23">
      <c r="A23" s="18" t="inlineStr">
        <is>
          <t>2026-10-01</t>
        </is>
      </c>
      <c r="B23" s="19" t="n">
        <v>3727210</v>
      </c>
      <c r="C23" s="19" t="n">
        <v>3247988.139999999</v>
      </c>
    </row>
    <row r="24">
      <c r="A24" s="18" t="inlineStr">
        <is>
          <t>2026-11-01</t>
        </is>
      </c>
      <c r="B24" s="19" t="n">
        <v>3742557.4</v>
      </c>
      <c r="C24" s="19" t="n">
        <v>3261402.410000002</v>
      </c>
    </row>
    <row r="25">
      <c r="A25" s="18" t="inlineStr">
        <is>
          <t>2026-12-01</t>
        </is>
      </c>
      <c r="B25" s="19" t="n">
        <v>3864560</v>
      </c>
      <c r="C25" s="19" t="n">
        <v>3380085.34</v>
      </c>
    </row>
  </sheetData>
  <autoFilter ref="A13:C25"/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2026-08-17T13:03:58Z</dcterms:created>
  <dcterms:modified xmlns:dcterms="http://purl.org/dc/terms/" xmlns:xsi="http://www.w3.org/2001/XMLSchema-instance" xsi:type="dcterms:W3CDTF">2026-08-17T13:03:58Z</dcterms:modified>
</cp:coreProperties>
</file>